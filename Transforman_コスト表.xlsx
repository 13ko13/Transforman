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25B556C0-DD56-405E-A138-D6D2AF3C7160}" xr6:coauthVersionLast="47" xr6:coauthVersionMax="47" xr10:uidLastSave="{00000000-0000-0000-0000-000000000000}"/>
  <bookViews>
    <workbookView xWindow="6585" yWindow="2235" windowWidth="21600" windowHeight="1129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<sst xmlns="http://schemas.openxmlformats.org/spreadsheetml/2006/main" count="128" uniqueCount="88">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</sst>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6">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xf numFmtId="0" fontId="0" fillId="0" borderId="0" xfId="0" applyAlignment="1">
      <alignment wrapText="1"/>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4" t="s">
        <v>43</v>
      </c>
      <c r="B1" s="100" t="str">
        <f>"プロト日数 :" &amp; (COUNT(スケジュール表!B7:C7)+COUNT(スケジュール表!A11:G14))</f>
        <v>プロト日数 :30</v>
      </c>
      <c r="C1" s="101"/>
      <c r="D1" s="96" t="str">
        <f ca="1">"残り作成日数:" &amp; (F2)-TODAY()</f>
        <v>残り作成日数:37</v>
      </c>
      <c r="E1" s="97"/>
      <c r="F1" s="53" t="s">
        <v>34</v>
      </c>
    </row>
    <row r="2" spans="1:10" ht="19.5" thickBot="1" x14ac:dyDescent="0.2">
      <c r="A2" s="95"/>
      <c r="B2" s="102"/>
      <c r="C2" s="103"/>
      <c r="D2" s="98"/>
      <c r="E2" s="99"/>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topLeftCell="A3" workbookViewId="0">
      <selection activeCell="E33" sqref="E33"/>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4" t="s">
        <v>62</v>
      </c>
      <c r="B4" s="104"/>
      <c r="C4" s="104"/>
      <c r="D4" s="104"/>
      <c r="E4" s="1"/>
      <c r="F4" s="1"/>
      <c r="G4" s="1"/>
      <c r="H4" s="1"/>
      <c r="I4" s="1"/>
      <c r="J4" s="1" t="s">
        <v>52</v>
      </c>
      <c r="K4" s="1"/>
      <c r="L4" s="1"/>
      <c r="M4" s="1"/>
      <c r="N4" s="1"/>
      <c r="O4" s="1"/>
    </row>
    <row r="5" spans="1:15" x14ac:dyDescent="0.15">
      <c r="A5" s="104" t="s">
        <v>51</v>
      </c>
      <c r="B5" s="104"/>
      <c r="C5" s="104"/>
      <c r="D5" s="104"/>
      <c r="E5" s="104"/>
      <c r="F5" s="104"/>
      <c r="G5" s="104"/>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13"/>
  <sheetViews>
    <sheetView tabSelected="1" topLeftCell="A9" zoomScale="130" zoomScaleNormal="130" workbookViewId="0">
      <selection activeCell="C12" sqref="C12"/>
    </sheetView>
  </sheetViews>
  <sheetFormatPr defaultRowHeight="13.5" x14ac:dyDescent="0.15"/>
  <cols>
    <col min="1" max="1" width="11.625" bestFit="1" customWidth="1"/>
    <col min="2" max="2" width="45.375" customWidth="1"/>
    <col min="3" max="3" width="50.75" customWidth="1"/>
  </cols>
  <sheetData>
    <row r="2" spans="1:3" x14ac:dyDescent="0.15">
      <c r="A2" t="s">
        <v>70</v>
      </c>
    </row>
    <row r="3" spans="1:3" x14ac:dyDescent="0.15">
      <c r="B3" s="78" t="s">
        <v>71</v>
      </c>
      <c r="C3" s="78" t="s">
        <v>72</v>
      </c>
    </row>
    <row r="4" spans="1:3" x14ac:dyDescent="0.15">
      <c r="A4" s="90">
        <f>DATE(2025,12,14)</f>
        <v>46005</v>
      </c>
      <c r="B4" s="92" t="s">
        <v>73</v>
      </c>
      <c r="C4" s="92" t="s">
        <v>77</v>
      </c>
    </row>
    <row r="5" spans="1:3" x14ac:dyDescent="0.15">
      <c r="B5" s="92" t="s">
        <v>74</v>
      </c>
      <c r="C5" s="92" t="s">
        <v>78</v>
      </c>
    </row>
    <row r="6" spans="1:3" x14ac:dyDescent="0.15">
      <c r="B6" s="92" t="s">
        <v>75</v>
      </c>
      <c r="C6" s="92" t="s">
        <v>79</v>
      </c>
    </row>
    <row r="7" spans="1:3" x14ac:dyDescent="0.15">
      <c r="B7" s="92" t="s">
        <v>76</v>
      </c>
      <c r="C7" s="92" t="s">
        <v>80</v>
      </c>
    </row>
    <row r="8" spans="1:3" x14ac:dyDescent="0.15">
      <c r="A8" s="91">
        <v>46007</v>
      </c>
      <c r="B8" s="92" t="s">
        <v>75</v>
      </c>
      <c r="C8" s="92" t="s">
        <v>84</v>
      </c>
    </row>
    <row r="9" spans="1:3" ht="40.5" x14ac:dyDescent="0.15">
      <c r="B9" s="93" t="s">
        <v>81</v>
      </c>
      <c r="C9" s="92" t="s">
        <v>85</v>
      </c>
    </row>
    <row r="10" spans="1:3" ht="54" x14ac:dyDescent="0.15">
      <c r="B10" s="92" t="s">
        <v>82</v>
      </c>
      <c r="C10" s="93" t="s">
        <v>83</v>
      </c>
    </row>
    <row r="11" spans="1:3" x14ac:dyDescent="0.15">
      <c r="A11" s="91">
        <v>46008</v>
      </c>
      <c r="B11" s="92" t="s">
        <v>75</v>
      </c>
    </row>
    <row r="12" spans="1:3" ht="40.5" x14ac:dyDescent="0.15">
      <c r="B12" s="93" t="s">
        <v>81</v>
      </c>
    </row>
    <row r="13" spans="1:3" ht="27" x14ac:dyDescent="0.15">
      <c r="B13" s="92" t="s">
        <v>86</v>
      </c>
      <c r="C13" s="105" t="s">
        <v>87</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2025-12-17T08:38:13Z</dcterms:modified>
</cp:coreProperties>
</file>