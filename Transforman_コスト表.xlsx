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ocuments\GitHub\Transforman\"/>
    </mc:Choice>
  </mc:AlternateContent>
  <xr:revisionPtr revIDLastSave="0" documentId="13_ncr:1_{3D3010F6-B6B8-42A2-9DD4-C75EEA55EEBC}" xr6:coauthVersionLast="47" xr6:coauthVersionMax="47" xr10:uidLastSave="{00000000-0000-0000-0000-000000000000}"/>
  <bookViews>
    <workbookView xWindow="330" yWindow="2085" windowWidth="21600" windowHeight="10800" activeTab="3" xr2:uid="{00000000-000D-0000-FFFF-FFFF00000000}"/>
  </bookViews>
  <sheets>
    <sheet name="プロト" sheetId="1" r:id="rId1"/>
    <sheet name="スケジュール表" sheetId="2" r:id="rId2"/>
    <sheet name="Sheet1" sheetId="3" r:id="rId3"/>
    <sheet name="Sheet2" sheetId="4" r:id="rId4"/>
  </sheets>
  <definedNames>
    <definedName name="MoMonth">スケジュール表!$B$2</definedName>
    <definedName name="MoMonthNum">MONTH(DATEVALUE(MoMonth&amp;"1日"))</definedName>
    <definedName name="MoYear">スケジュール表!$C$2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 l="1"/>
  <c r="A4" i="4"/>
  <c r="E14" i="1"/>
  <c r="E5" i="1"/>
  <c r="E8" i="1"/>
  <c r="E6" i="1"/>
  <c r="J20" i="1"/>
  <c r="J21" i="1"/>
  <c r="E7" i="1"/>
  <c r="J22" i="1"/>
  <c r="J23" i="1"/>
  <c r="J24" i="1"/>
  <c r="E15" i="1"/>
  <c r="E9" i="1"/>
  <c r="E10" i="1"/>
  <c r="E11" i="1"/>
  <c r="E12" i="1"/>
  <c r="E13" i="1"/>
  <c r="E4" i="1"/>
  <c r="B15" i="1"/>
  <c r="F4" i="1" s="1"/>
  <c r="J16" i="1"/>
  <c r="J17" i="1"/>
  <c r="J18" i="1"/>
  <c r="J19" i="1"/>
  <c r="B1" i="1"/>
  <c r="F2" i="1"/>
  <c r="D1" i="1" s="1"/>
  <c r="G30" i="2"/>
  <c r="C31" i="2" s="1"/>
  <c r="F30" i="2"/>
  <c r="E30" i="2"/>
  <c r="D30" i="2"/>
  <c r="C30" i="2"/>
  <c r="B30" i="2"/>
  <c r="A30" i="2"/>
  <c r="G29" i="2"/>
  <c r="F29" i="2"/>
  <c r="E29" i="2"/>
  <c r="D29" i="2"/>
  <c r="C29" i="2"/>
  <c r="B29" i="2"/>
  <c r="A29" i="2"/>
  <c r="G28" i="2"/>
  <c r="F28" i="2"/>
  <c r="E28" i="2"/>
  <c r="D28" i="2"/>
  <c r="C28" i="2"/>
  <c r="B28" i="2"/>
  <c r="A28" i="2"/>
  <c r="G27" i="2"/>
  <c r="F27" i="2"/>
  <c r="E27" i="2"/>
  <c r="D27" i="2"/>
  <c r="C27" i="2"/>
  <c r="B27" i="2"/>
  <c r="A27" i="2"/>
  <c r="C23" i="2"/>
  <c r="G21" i="2"/>
  <c r="E22" i="2" s="1"/>
  <c r="F21" i="2"/>
  <c r="E21" i="2"/>
  <c r="D21" i="2"/>
  <c r="C21" i="2"/>
  <c r="B21" i="2"/>
  <c r="A21" i="2"/>
  <c r="G20" i="2"/>
  <c r="F20" i="2"/>
  <c r="E20" i="2"/>
  <c r="D20" i="2"/>
  <c r="C20" i="2"/>
  <c r="B20" i="2"/>
  <c r="G19" i="2"/>
  <c r="A20" i="2" s="1"/>
  <c r="F19" i="2"/>
  <c r="E19" i="2"/>
  <c r="D19" i="2"/>
  <c r="C19" i="2"/>
  <c r="B19" i="2"/>
  <c r="A19" i="2"/>
  <c r="G12" i="2"/>
  <c r="A13" i="2" s="1"/>
  <c r="F12" i="2"/>
  <c r="E12" i="2"/>
  <c r="D12" i="2"/>
  <c r="C12" i="2"/>
  <c r="B12" i="2"/>
  <c r="G11" i="2"/>
  <c r="A12" i="2" s="1"/>
  <c r="F11" i="2"/>
  <c r="E11" i="2"/>
  <c r="D11" i="2"/>
  <c r="C11" i="2"/>
  <c r="B11" i="2"/>
  <c r="A11" i="2"/>
  <c r="B5" i="2"/>
  <c r="C5" i="2"/>
  <c r="A4" i="2"/>
  <c r="B4" i="2"/>
  <c r="C4" i="2"/>
  <c r="D4" i="2"/>
  <c r="E4" i="2"/>
  <c r="F4" i="2"/>
  <c r="G4" i="2"/>
  <c r="D5" i="2" s="1"/>
  <c r="B3" i="2"/>
  <c r="C3" i="2"/>
  <c r="D3" i="2"/>
  <c r="E3" i="2"/>
  <c r="F3" i="2"/>
  <c r="G3" i="2"/>
  <c r="A3" i="2"/>
  <c r="B31" i="2" l="1"/>
  <c r="A31" i="2"/>
  <c r="B22" i="2"/>
  <c r="F22" i="2"/>
  <c r="A22" i="2"/>
  <c r="G22" i="2"/>
  <c r="D22" i="2"/>
  <c r="D13" i="2"/>
  <c r="E13" i="2"/>
  <c r="B13" i="2"/>
  <c r="C13" i="2"/>
  <c r="F5" i="2"/>
  <c r="F13" i="2"/>
  <c r="A5" i="2"/>
  <c r="E5" i="2"/>
  <c r="G13" i="2"/>
  <c r="G5" i="2"/>
  <c r="A14" i="2"/>
  <c r="D14" i="2"/>
  <c r="F14" i="2"/>
  <c r="C14" i="2"/>
  <c r="B23" i="2" l="1"/>
  <c r="A23" i="2"/>
  <c r="C6" i="2"/>
  <c r="D6" i="2"/>
  <c r="E6" i="2"/>
  <c r="F6" i="2"/>
  <c r="G6" i="2"/>
  <c r="B6" i="2"/>
  <c r="A6" i="2"/>
  <c r="E14" i="2"/>
  <c r="G14" i="2"/>
  <c r="B14" i="2"/>
  <c r="B15" i="2" l="1"/>
  <c r="A15" i="2"/>
  <c r="B7" i="2"/>
  <c r="C7" i="2"/>
  <c r="A7" i="2"/>
</calcChain>
</file>

<file path=xl/sharedStrings.xml><?xml version="1.0" encoding="utf-8"?>
<sst xmlns="http://schemas.openxmlformats.org/spreadsheetml/2006/main" count="160" uniqueCount="108">
  <si>
    <t>項目</t>
  </si>
  <si>
    <t>実コスト</t>
  </si>
  <si>
    <t>基本操作の実装（ジャンプ、弾、移動）</t>
  </si>
  <si>
    <t>ステージ2の設計と実装</t>
  </si>
  <si>
    <t>ステージ3の設計と実装</t>
  </si>
  <si>
    <t>ゲームUIの作成（ライフ、残機表示など）</t>
  </si>
  <si>
    <t>グラフィック素材の作成・調達</t>
  </si>
  <si>
    <t>オプション機能の検討と実装（優先度低）</t>
  </si>
  <si>
    <t>完成度</t>
    <rPh sb="0" eb="3">
      <t>カンセイド</t>
    </rPh>
    <phoneticPr fontId="2"/>
  </si>
  <si>
    <t>ー移動</t>
    <rPh sb="1" eb="3">
      <t>イドウ</t>
    </rPh>
    <phoneticPr fontId="2"/>
  </si>
  <si>
    <t>ー弾</t>
    <rPh sb="1" eb="2">
      <t>タマ</t>
    </rPh>
    <phoneticPr fontId="2"/>
  </si>
  <si>
    <t>特殊能力の実装</t>
    <rPh sb="0" eb="4">
      <t>トクシュノウリョク</t>
    </rPh>
    <rPh sb="5" eb="7">
      <t>ジッソウ</t>
    </rPh>
    <phoneticPr fontId="2"/>
  </si>
  <si>
    <t>見積コスト
1コスト:1時間</t>
    <phoneticPr fontId="2"/>
  </si>
  <si>
    <t>A</t>
    <phoneticPr fontId="2"/>
  </si>
  <si>
    <t>B</t>
    <phoneticPr fontId="2"/>
  </si>
  <si>
    <t>C</t>
    <phoneticPr fontId="2"/>
  </si>
  <si>
    <t>合計</t>
    <rPh sb="0" eb="2">
      <t>ゴウケイ</t>
    </rPh>
    <phoneticPr fontId="2"/>
  </si>
  <si>
    <t>1日の必要作業時間</t>
    <rPh sb="1" eb="2">
      <t>ニチ</t>
    </rPh>
    <rPh sb="5" eb="7">
      <t>サギョウ</t>
    </rPh>
    <rPh sb="7" eb="9">
      <t>ジカン</t>
    </rPh>
    <phoneticPr fontId="2"/>
  </si>
  <si>
    <t>日曜日</t>
  </si>
  <si>
    <t>月曜日</t>
  </si>
  <si>
    <t>火曜日</t>
  </si>
  <si>
    <t>水曜日</t>
  </si>
  <si>
    <t>木曜日</t>
  </si>
  <si>
    <t>金曜日</t>
  </si>
  <si>
    <t>土曜日</t>
  </si>
  <si>
    <t>10月</t>
    <rPh sb="2" eb="3">
      <t>ガツ</t>
    </rPh>
    <phoneticPr fontId="2"/>
  </si>
  <si>
    <t>11月</t>
    <rPh sb="2" eb="3">
      <t>ガツ</t>
    </rPh>
    <phoneticPr fontId="2"/>
  </si>
  <si>
    <t>12月</t>
    <rPh sb="2" eb="3">
      <t>ガツ</t>
    </rPh>
    <phoneticPr fontId="2"/>
  </si>
  <si>
    <t>1月</t>
    <rPh sb="1" eb="2">
      <t>ガツ</t>
    </rPh>
    <phoneticPr fontId="2"/>
  </si>
  <si>
    <t>プロト</t>
    <phoneticPr fontId="2"/>
  </si>
  <si>
    <t>アルファ</t>
    <phoneticPr fontId="2"/>
  </si>
  <si>
    <t>ベータ</t>
    <phoneticPr fontId="2"/>
  </si>
  <si>
    <t>マスター</t>
    <phoneticPr fontId="2"/>
  </si>
  <si>
    <t>展示会日</t>
    <rPh sb="0" eb="3">
      <t>テンジカイ</t>
    </rPh>
    <rPh sb="3" eb="4">
      <t>ビ</t>
    </rPh>
    <phoneticPr fontId="2"/>
  </si>
  <si>
    <t>終了日</t>
    <rPh sb="0" eb="3">
      <t>シュウリョウビ</t>
    </rPh>
    <phoneticPr fontId="2"/>
  </si>
  <si>
    <t>ライブラリ設計</t>
    <rPh sb="5" eb="7">
      <t>セッケイ</t>
    </rPh>
    <phoneticPr fontId="2"/>
  </si>
  <si>
    <t>ーチャージショット</t>
    <phoneticPr fontId="2"/>
  </si>
  <si>
    <t>ー火炎放射</t>
    <rPh sb="1" eb="5">
      <t>カエンホウシャ</t>
    </rPh>
    <phoneticPr fontId="2"/>
  </si>
  <si>
    <t>ステージ1の設計と実装</t>
    <phoneticPr fontId="2"/>
  </si>
  <si>
    <t>ージャンプ(入力時間に応じてジャンプ力が変わる)</t>
    <rPh sb="6" eb="10">
      <t>ニュウリョクジカン</t>
    </rPh>
    <rPh sb="11" eb="12">
      <t>オウ</t>
    </rPh>
    <rPh sb="18" eb="19">
      <t>リョク</t>
    </rPh>
    <rPh sb="20" eb="21">
      <t>カ</t>
    </rPh>
    <phoneticPr fontId="2"/>
  </si>
  <si>
    <t>S</t>
    <phoneticPr fontId="2"/>
  </si>
  <si>
    <t>ボスキャラクターの作成(植物系ボス)</t>
    <rPh sb="12" eb="15">
      <t>ショクブツケイ</t>
    </rPh>
    <phoneticPr fontId="2"/>
  </si>
  <si>
    <t>タイトル　TransforMan</t>
    <phoneticPr fontId="2"/>
  </si>
  <si>
    <t>リスポーン制度の実装（3機）</t>
    <phoneticPr fontId="2"/>
  </si>
  <si>
    <t>ーチャージショットボス</t>
    <phoneticPr fontId="2"/>
  </si>
  <si>
    <t>ー硬い、ちょっと動きの速いボス</t>
    <rPh sb="1" eb="2">
      <t>カタ</t>
    </rPh>
    <rPh sb="8" eb="9">
      <t>ウゴ</t>
    </rPh>
    <rPh sb="11" eb="12">
      <t>ハヤ</t>
    </rPh>
    <phoneticPr fontId="2"/>
  </si>
  <si>
    <t>ー火吐いてくる系のボス</t>
    <rPh sb="1" eb="2">
      <t>ヒ</t>
    </rPh>
    <rPh sb="2" eb="3">
      <t>ハ</t>
    </rPh>
    <rPh sb="7" eb="8">
      <t>ケイ</t>
    </rPh>
    <phoneticPr fontId="2"/>
  </si>
  <si>
    <t>アルファかも？</t>
    <phoneticPr fontId="2"/>
  </si>
  <si>
    <t>重要度</t>
    <phoneticPr fontId="2"/>
  </si>
  <si>
    <t>やりたいこと</t>
    <phoneticPr fontId="2"/>
  </si>
  <si>
    <t>このステージは特に何もないステージで、ただチャージショットボスと戦うのみ</t>
    <rPh sb="7" eb="8">
      <t>トク</t>
    </rPh>
    <rPh sb="9" eb="10">
      <t>ナニ</t>
    </rPh>
    <rPh sb="32" eb="33">
      <t>タタカ</t>
    </rPh>
    <phoneticPr fontId="2"/>
  </si>
  <si>
    <t>ステージはランダムなのでルーレットのような演出を入れたい</t>
    <rPh sb="21" eb="23">
      <t>エンシュツ</t>
    </rPh>
    <rPh sb="24" eb="25">
      <t>イ</t>
    </rPh>
    <phoneticPr fontId="2"/>
  </si>
  <si>
    <t>・ステージ</t>
    <phoneticPr fontId="2"/>
  </si>
  <si>
    <t>・演出</t>
    <rPh sb="1" eb="3">
      <t>エンシュツ</t>
    </rPh>
    <phoneticPr fontId="2"/>
  </si>
  <si>
    <t>ボスはチャージショットと普通のショットを駆使してくる</t>
    <rPh sb="12" eb="14">
      <t>フツウ</t>
    </rPh>
    <rPh sb="20" eb="22">
      <t>クシ</t>
    </rPh>
    <phoneticPr fontId="2"/>
  </si>
  <si>
    <t>クリアするとチャージショット能力をプレイヤーが得る</t>
    <rPh sb="14" eb="16">
      <t>ノウリョク</t>
    </rPh>
    <rPh sb="23" eb="24">
      <t>エ</t>
    </rPh>
    <phoneticPr fontId="2"/>
  </si>
  <si>
    <t>クリアするとパリィ能力を得る</t>
    <rPh sb="9" eb="11">
      <t>ノウリョク</t>
    </rPh>
    <rPh sb="12" eb="13">
      <t>エ</t>
    </rPh>
    <phoneticPr fontId="2"/>
  </si>
  <si>
    <t>パリィ能力はクールタイムを付けたい</t>
    <rPh sb="3" eb="5">
      <t>ノウリョク</t>
    </rPh>
    <rPh sb="13" eb="14">
      <t>ツ</t>
    </rPh>
    <phoneticPr fontId="2"/>
  </si>
  <si>
    <t>2つ目にパリィを作りたいのでガードして近接攻撃してくる敵を作りたい</t>
    <rPh sb="2" eb="3">
      <t>メ</t>
    </rPh>
    <rPh sb="8" eb="9">
      <t>ツク</t>
    </rPh>
    <rPh sb="19" eb="23">
      <t>キンセツコウゲキ</t>
    </rPh>
    <rPh sb="27" eb="28">
      <t>テキ</t>
    </rPh>
    <rPh sb="29" eb="30">
      <t>ツク</t>
    </rPh>
    <phoneticPr fontId="2"/>
  </si>
  <si>
    <t>3つ目に火炎放射を放つボスを作る</t>
    <rPh sb="2" eb="3">
      <t>メ</t>
    </rPh>
    <rPh sb="4" eb="8">
      <t>カエンホウシャ</t>
    </rPh>
    <rPh sb="9" eb="10">
      <t>ハナ</t>
    </rPh>
    <rPh sb="14" eb="15">
      <t>ツク</t>
    </rPh>
    <phoneticPr fontId="2"/>
  </si>
  <si>
    <t>このステージでは何個かブロックがあって敵の攻撃時にはそのブロックに乗ってからよけれるようにする</t>
    <rPh sb="8" eb="10">
      <t>ナンコ</t>
    </rPh>
    <rPh sb="19" eb="20">
      <t>テキ</t>
    </rPh>
    <rPh sb="21" eb="24">
      <t>コウゲキジ</t>
    </rPh>
    <rPh sb="33" eb="34">
      <t>ノ</t>
    </rPh>
    <phoneticPr fontId="2"/>
  </si>
  <si>
    <t>1つ目にチャージショットボスステージを作る</t>
    <rPh sb="2" eb="3">
      <t>メ</t>
    </rPh>
    <rPh sb="19" eb="20">
      <t>ツク</t>
    </rPh>
    <phoneticPr fontId="2"/>
  </si>
  <si>
    <t>体力が半分以下になるとブロックが1つずつ消えていくようにする</t>
    <rPh sb="0" eb="2">
      <t>タイリョク</t>
    </rPh>
    <rPh sb="3" eb="7">
      <t>ハンブンイカ</t>
    </rPh>
    <rPh sb="20" eb="21">
      <t>キ</t>
    </rPh>
    <phoneticPr fontId="2"/>
  </si>
  <si>
    <t>ラスボスとして植物系のボスを作る</t>
    <rPh sb="7" eb="9">
      <t>ショクブツ</t>
    </rPh>
    <rPh sb="9" eb="10">
      <t>ケイ</t>
    </rPh>
    <rPh sb="14" eb="15">
      <t>ツク</t>
    </rPh>
    <phoneticPr fontId="2"/>
  </si>
  <si>
    <t>このボスは頭を振って攻撃してくるのでパリィからの火炎放射が一番良い</t>
    <rPh sb="5" eb="6">
      <t>アタマ</t>
    </rPh>
    <rPh sb="7" eb="8">
      <t>フ</t>
    </rPh>
    <rPh sb="10" eb="12">
      <t>コウゲキ</t>
    </rPh>
    <rPh sb="24" eb="28">
      <t>カエンホウシャ</t>
    </rPh>
    <rPh sb="29" eb="31">
      <t>イチバン</t>
    </rPh>
    <rPh sb="31" eb="32">
      <t>ヨ</t>
    </rPh>
    <phoneticPr fontId="2"/>
  </si>
  <si>
    <t>火炎放射にもエネルギーはあるのでエネルギー不足の場合はチャージショットを駆使するとよい</t>
    <rPh sb="0" eb="4">
      <t>カエンホウシャ</t>
    </rPh>
    <rPh sb="21" eb="23">
      <t>ブソク</t>
    </rPh>
    <rPh sb="24" eb="26">
      <t>バアイ</t>
    </rPh>
    <rPh sb="36" eb="38">
      <t>クシ</t>
    </rPh>
    <phoneticPr fontId="2"/>
  </si>
  <si>
    <t>ゲームの進行をゲームマネージャーに管理させる</t>
    <rPh sb="4" eb="6">
      <t>シンコウ</t>
    </rPh>
    <rPh sb="17" eb="19">
      <t>カンリ</t>
    </rPh>
    <phoneticPr fontId="2"/>
  </si>
  <si>
    <t>まず、プレイヤーがボスの場所についたらisArriveをtrueにしてそれをカメラクラスに渡す</t>
    <rPh sb="12" eb="14">
      <t>バショ</t>
    </rPh>
    <rPh sb="45" eb="46">
      <t>ワタ</t>
    </rPh>
    <phoneticPr fontId="2"/>
  </si>
  <si>
    <t xml:space="preserve"> </t>
    <phoneticPr fontId="2"/>
  </si>
  <si>
    <t>1日ごとの目標</t>
    <rPh sb="1" eb="2">
      <t>ニチ</t>
    </rPh>
    <rPh sb="5" eb="7">
      <t>モクヒョウ</t>
    </rPh>
    <phoneticPr fontId="2"/>
  </si>
  <si>
    <t>目標</t>
    <rPh sb="0" eb="2">
      <t>モクヒョウ</t>
    </rPh>
    <phoneticPr fontId="2"/>
  </si>
  <si>
    <t>結果</t>
    <rPh sb="0" eb="2">
      <t>ケッカ</t>
    </rPh>
    <phoneticPr fontId="2"/>
  </si>
  <si>
    <t>・ボスの突進時にカメラが揺れるバグ修正</t>
    <rPh sb="4" eb="7">
      <t>トッシンジ</t>
    </rPh>
    <rPh sb="12" eb="13">
      <t>ユ</t>
    </rPh>
    <rPh sb="17" eb="19">
      <t>シュウセイ</t>
    </rPh>
    <phoneticPr fontId="2"/>
  </si>
  <si>
    <t>・ボス疑似AI完成</t>
    <rPh sb="3" eb="5">
      <t>ギジ</t>
    </rPh>
    <rPh sb="7" eb="9">
      <t>カンセイ</t>
    </rPh>
    <phoneticPr fontId="2"/>
  </si>
  <si>
    <t>・テキスト(ヒント)表示</t>
    <rPh sb="10" eb="12">
      <t>ヒョウジ</t>
    </rPh>
    <phoneticPr fontId="2"/>
  </si>
  <si>
    <t>・弾の実体とデバッグ表示のずれを治す</t>
    <rPh sb="1" eb="2">
      <t>タマ</t>
    </rPh>
    <rPh sb="3" eb="5">
      <t>ジッタイ</t>
    </rPh>
    <rPh sb="10" eb="12">
      <t>ヒョウジ</t>
    </rPh>
    <rPh sb="16" eb="17">
      <t>ナオ</t>
    </rPh>
    <phoneticPr fontId="2"/>
  </si>
  <si>
    <t>突進前に少し壁から離すことで解決</t>
    <rPh sb="0" eb="3">
      <t>トッシンマエ</t>
    </rPh>
    <rPh sb="4" eb="5">
      <t>スコ</t>
    </rPh>
    <rPh sb="6" eb="7">
      <t>カベ</t>
    </rPh>
    <rPh sb="9" eb="10">
      <t>ハナ</t>
    </rPh>
    <rPh sb="14" eb="16">
      <t>カイケツ</t>
    </rPh>
    <phoneticPr fontId="2"/>
  </si>
  <si>
    <t>ある程度は完成</t>
    <rPh sb="2" eb="4">
      <t>テイド</t>
    </rPh>
    <rPh sb="5" eb="7">
      <t>カンセイ</t>
    </rPh>
    <phoneticPr fontId="2"/>
  </si>
  <si>
    <t>未完成</t>
    <rPh sb="0" eb="3">
      <t>ミカンセイ</t>
    </rPh>
    <phoneticPr fontId="2"/>
  </si>
  <si>
    <t>素材を変えることで完成</t>
    <rPh sb="0" eb="2">
      <t>ソザイ</t>
    </rPh>
    <rPh sb="3" eb="4">
      <t>カ</t>
    </rPh>
    <rPh sb="9" eb="11">
      <t>カンセイ</t>
    </rPh>
    <phoneticPr fontId="2"/>
  </si>
  <si>
    <t>・チャージショットボスを倒した後にゲームマネージャーから
能力を手に入れる許可をもらうようにする</t>
    <rPh sb="12" eb="13">
      <t>タオ</t>
    </rPh>
    <rPh sb="15" eb="16">
      <t>アト</t>
    </rPh>
    <rPh sb="29" eb="31">
      <t>ノウリョク</t>
    </rPh>
    <rPh sb="32" eb="33">
      <t>テ</t>
    </rPh>
    <rPh sb="34" eb="35">
      <t>イ</t>
    </rPh>
    <rPh sb="37" eb="39">
      <t>キョカ</t>
    </rPh>
    <phoneticPr fontId="2"/>
  </si>
  <si>
    <t>・ジャンプの挙動を治す</t>
    <rPh sb="6" eb="8">
      <t>キョドウ</t>
    </rPh>
    <rPh sb="9" eb="10">
      <t>ナオ</t>
    </rPh>
    <phoneticPr fontId="2"/>
  </si>
  <si>
    <t>ジャンプを入力している間は最大許容入力時間内であれば
ずっと上方向に速度を持っていて、入力をやめると
上方向の速度がどんどん下に向かって速度を持ち始めて
自然落下を始めるようにして解決(かなり時間を食ってしまった)</t>
    <rPh sb="5" eb="7">
      <t>ニュウリョク</t>
    </rPh>
    <rPh sb="11" eb="12">
      <t>アイダ</t>
    </rPh>
    <rPh sb="13" eb="15">
      <t>サイダイ</t>
    </rPh>
    <rPh sb="15" eb="17">
      <t>キョヨウ</t>
    </rPh>
    <rPh sb="17" eb="22">
      <t>ニュウリョクジカンナイ</t>
    </rPh>
    <rPh sb="30" eb="33">
      <t>ウエホウコウ</t>
    </rPh>
    <rPh sb="34" eb="36">
      <t>ソクド</t>
    </rPh>
    <rPh sb="37" eb="38">
      <t>モ</t>
    </rPh>
    <rPh sb="43" eb="45">
      <t>ニュウリョク</t>
    </rPh>
    <rPh sb="51" eb="52">
      <t>ウエ</t>
    </rPh>
    <rPh sb="52" eb="54">
      <t>ホウコウ</t>
    </rPh>
    <rPh sb="55" eb="57">
      <t>ソクド</t>
    </rPh>
    <rPh sb="62" eb="63">
      <t>シタ</t>
    </rPh>
    <rPh sb="64" eb="65">
      <t>ム</t>
    </rPh>
    <rPh sb="68" eb="70">
      <t>ソクド</t>
    </rPh>
    <rPh sb="71" eb="72">
      <t>モ</t>
    </rPh>
    <rPh sb="73" eb="74">
      <t>ハジ</t>
    </rPh>
    <rPh sb="77" eb="81">
      <t>シゼンラッカ</t>
    </rPh>
    <rPh sb="82" eb="83">
      <t>ハジ</t>
    </rPh>
    <rPh sb="90" eb="92">
      <t>カイケツ</t>
    </rPh>
    <rPh sb="96" eb="98">
      <t>ジカン</t>
    </rPh>
    <rPh sb="99" eb="100">
      <t>ク</t>
    </rPh>
    <phoneticPr fontId="2"/>
  </si>
  <si>
    <t>ジャンプに時間を食ってしまって未完成</t>
    <rPh sb="5" eb="7">
      <t>ジカン</t>
    </rPh>
    <rPh sb="8" eb="9">
      <t>ク</t>
    </rPh>
    <rPh sb="15" eb="18">
      <t>ミカンセイ</t>
    </rPh>
    <phoneticPr fontId="2"/>
  </si>
  <si>
    <t>同じく</t>
    <rPh sb="0" eb="1">
      <t>オナ</t>
    </rPh>
    <phoneticPr fontId="2"/>
  </si>
  <si>
    <t>・ボス部屋到着時に、ボス出現中は行動不能にする</t>
    <rPh sb="3" eb="8">
      <t>ベヤトウチャクジ</t>
    </rPh>
    <rPh sb="12" eb="15">
      <t>シュツゲンチュウ</t>
    </rPh>
    <rPh sb="16" eb="20">
      <t>コウドウフノウ</t>
    </rPh>
    <phoneticPr fontId="2"/>
  </si>
  <si>
    <t>時間はかかったが完成。設計の仕方が下手なのでもう少しほかのオブジェクトのことも考えるような設計にする</t>
    <rPh sb="0" eb="2">
      <t>ジカン</t>
    </rPh>
    <rPh sb="8" eb="10">
      <t>カンセイ</t>
    </rPh>
    <rPh sb="11" eb="13">
      <t>セッケイ</t>
    </rPh>
    <rPh sb="14" eb="16">
      <t>シカタ</t>
    </rPh>
    <rPh sb="17" eb="19">
      <t>ヘタ</t>
    </rPh>
    <rPh sb="24" eb="25">
      <t>スコ</t>
    </rPh>
    <rPh sb="39" eb="40">
      <t>カンガ</t>
    </rPh>
    <rPh sb="45" eb="47">
      <t>セッケイ</t>
    </rPh>
    <phoneticPr fontId="2"/>
  </si>
  <si>
    <t>作成途中</t>
    <rPh sb="0" eb="4">
      <t>サクセイトチュウ</t>
    </rPh>
    <phoneticPr fontId="2"/>
  </si>
  <si>
    <t>テキスト(ヒント)表示について</t>
    <rPh sb="9" eb="11">
      <t>ヒョウジ</t>
    </rPh>
    <phoneticPr fontId="2"/>
  </si>
  <si>
    <t>R1と L1で切り替えができるようになる</t>
    <rPh sb="7" eb="8">
      <t>キ</t>
    </rPh>
    <rPh sb="9" eb="10">
      <t>カ</t>
    </rPh>
    <phoneticPr fontId="2"/>
  </si>
  <si>
    <t>テキストの下にページ数</t>
    <rPh sb="5" eb="6">
      <t>シタ</t>
    </rPh>
    <rPh sb="10" eb="11">
      <t>スウ</t>
    </rPh>
    <phoneticPr fontId="2"/>
  </si>
  <si>
    <t>ーパリィ</t>
    <phoneticPr fontId="2"/>
  </si>
  <si>
    <t>ステージに入った際に画面を止めて説明画像を見せる</t>
    <rPh sb="5" eb="6">
      <t>ハイ</t>
    </rPh>
    <rPh sb="8" eb="9">
      <t>サイ</t>
    </rPh>
    <rPh sb="10" eb="12">
      <t>ガメン</t>
    </rPh>
    <rPh sb="13" eb="14">
      <t>ト</t>
    </rPh>
    <rPh sb="16" eb="18">
      <t>セツメイ</t>
    </rPh>
    <rPh sb="18" eb="20">
      <t>ガゾウ</t>
    </rPh>
    <rPh sb="21" eb="22">
      <t>ミ</t>
    </rPh>
    <phoneticPr fontId="2"/>
  </si>
  <si>
    <t>切り替え時にスライドなどの演出は入れない</t>
    <rPh sb="0" eb="1">
      <t>キ</t>
    </rPh>
    <rPh sb="2" eb="3">
      <t>カ</t>
    </rPh>
    <rPh sb="4" eb="5">
      <t>ジ</t>
    </rPh>
    <rPh sb="13" eb="15">
      <t>エンシュツ</t>
    </rPh>
    <rPh sb="16" eb="17">
      <t>イ</t>
    </rPh>
    <phoneticPr fontId="2"/>
  </si>
  <si>
    <t>説明用のシーンを作成する</t>
    <rPh sb="0" eb="3">
      <t>セツメイヨウ</t>
    </rPh>
    <rPh sb="8" eb="10">
      <t>サクセイ</t>
    </rPh>
    <phoneticPr fontId="2"/>
  </si>
  <si>
    <t>→のようなイメージ</t>
    <phoneticPr fontId="2"/>
  </si>
  <si>
    <t>進捗が怪しいので一旦切り替えてパリィを作る</t>
    <rPh sb="0" eb="2">
      <t>シンチョク</t>
    </rPh>
    <rPh sb="3" eb="4">
      <t>アヤ</t>
    </rPh>
    <rPh sb="8" eb="11">
      <t>イッタンキ</t>
    </rPh>
    <rPh sb="12" eb="13">
      <t>カ</t>
    </rPh>
    <rPh sb="19" eb="20">
      <t>ツク</t>
    </rPh>
    <phoneticPr fontId="2"/>
  </si>
  <si>
    <t>パリィが難しいと感じたらすぐにボスの挙動にシフトチェンジする</t>
    <rPh sb="4" eb="5">
      <t>ムズカ</t>
    </rPh>
    <rPh sb="8" eb="9">
      <t>カン</t>
    </rPh>
    <rPh sb="18" eb="20">
      <t>キョドウ</t>
    </rPh>
    <phoneticPr fontId="2"/>
  </si>
  <si>
    <t>完成したがゲームには取り入れていない</t>
    <rPh sb="0" eb="2">
      <t>カンセイ</t>
    </rPh>
    <rPh sb="10" eb="11">
      <t>ト</t>
    </rPh>
    <rPh sb="12" eb="13">
      <t>イ</t>
    </rPh>
    <phoneticPr fontId="2"/>
  </si>
  <si>
    <t>弾のグラフィックぶちこみ</t>
    <rPh sb="0" eb="1">
      <t>タマ</t>
    </rPh>
    <phoneticPr fontId="2"/>
  </si>
  <si>
    <t>疑似的なパリィ完成。あとはエフェクトでバリア的なのを出したい</t>
    <rPh sb="0" eb="3">
      <t>ギジテキ</t>
    </rPh>
    <rPh sb="7" eb="9">
      <t>カンセイ</t>
    </rPh>
    <rPh sb="22" eb="23">
      <t>テキ</t>
    </rPh>
    <rPh sb="26" eb="27">
      <t>ダ</t>
    </rPh>
    <phoneticPr fontId="2"/>
  </si>
  <si>
    <t>パリィボスの挙動づくりに入った</t>
    <rPh sb="6" eb="8">
      <t>キョドウ</t>
    </rPh>
    <rPh sb="12" eb="13">
      <t>ハイ</t>
    </rPh>
    <phoneticPr fontId="2"/>
  </si>
  <si>
    <t>時間がなくて未着手</t>
    <rPh sb="0" eb="2">
      <t>ジカン</t>
    </rPh>
    <rPh sb="6" eb="9">
      <t>ミチャクシュ</t>
    </rPh>
    <phoneticPr fontId="2"/>
  </si>
  <si>
    <t>パリィボスの作成</t>
    <rPh sb="6" eb="8">
      <t>サクセイ</t>
    </rPh>
    <phoneticPr fontId="2"/>
  </si>
  <si>
    <t>アニメーションクラスの作成</t>
    <rPh sb="11" eb="13">
      <t>サクセイ</t>
    </rPh>
    <phoneticPr fontId="2"/>
  </si>
  <si>
    <t>チャージショットボスのショットアニメーション実装</t>
    <rPh sb="22" eb="24">
      <t>ジッソウ</t>
    </rPh>
    <phoneticPr fontId="2"/>
  </si>
  <si>
    <t>チャージショットボスの着地時にカメラを揺らす演出を実装</t>
    <rPh sb="11" eb="14">
      <t>チャクチジ</t>
    </rPh>
    <rPh sb="19" eb="20">
      <t>ユ</t>
    </rPh>
    <rPh sb="22" eb="24">
      <t>エンシュツ</t>
    </rPh>
    <rPh sb="25" eb="27">
      <t>ジッソウ</t>
    </rPh>
    <phoneticPr fontId="2"/>
  </si>
  <si>
    <t>完成</t>
    <rPh sb="0" eb="2">
      <t>カンセイ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</si>
</sst>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b/>
      <sz val="11"/>
      <color theme="1"/>
      <name val="ＭＳ Ｐゴシック"/>
      <family val="3"/>
      <charset val="128"/>
      <scheme val="minor"/>
    </font>
    <font>
      <sz val="11"/>
      <color theme="1"/>
      <name val="ＭＳ Ｐゴシック"/>
      <family val="2"/>
      <scheme val="minor"/>
    </font>
    <font>
      <b/>
      <sz val="13"/>
      <color theme="3"/>
      <name val="ＭＳ Ｐゴシック"/>
      <family val="2"/>
      <charset val="128"/>
      <scheme val="minor"/>
    </font>
    <font>
      <b/>
      <sz val="20"/>
      <color theme="0"/>
      <name val="Meiryo UI"/>
      <family val="3"/>
      <charset val="128"/>
    </font>
    <font>
      <sz val="14"/>
      <color theme="0"/>
      <name val="Meiryo UI"/>
      <family val="2"/>
    </font>
    <font>
      <sz val="14"/>
      <color theme="0"/>
      <name val="Meiryo UI"/>
      <family val="3"/>
      <charset val="128"/>
    </font>
    <font>
      <sz val="22"/>
      <color theme="4" tint="-0.24994659260841701"/>
      <name val="Meiryo UI"/>
      <family val="2"/>
    </font>
    <font>
      <sz val="11"/>
      <color theme="1" tint="0.14996795556505021"/>
      <name val="Meiryo UI"/>
      <family val="2"/>
    </font>
    <font>
      <b/>
      <sz val="20"/>
      <color theme="1"/>
      <name val="Meiryo UI"/>
      <family val="3"/>
      <charset val="128"/>
    </font>
    <font>
      <sz val="22"/>
      <color theme="1"/>
      <name val="Meiryo UI"/>
      <family val="3"/>
      <charset val="128"/>
    </font>
    <font>
      <sz val="11"/>
      <color theme="1"/>
      <name val="Meiryo UI"/>
      <family val="3"/>
      <charset val="128"/>
    </font>
    <font>
      <sz val="14"/>
      <color theme="1"/>
      <name val="Meiryo UI"/>
      <family val="3"/>
      <charset val="128"/>
    </font>
    <font>
      <sz val="14"/>
      <color theme="1"/>
      <name val="ＭＳ Ｐゴシック"/>
      <family val="2"/>
      <scheme val="minor"/>
    </font>
    <font>
      <sz val="16"/>
      <color theme="1"/>
      <name val="ＭＳ Ｐゴシック"/>
      <family val="2"/>
      <scheme val="minor"/>
    </font>
    <font>
      <sz val="16"/>
      <color theme="1"/>
      <name val="ＭＳ Ｐゴシック"/>
      <family val="3"/>
      <charset val="128"/>
      <scheme val="minor"/>
    </font>
    <font>
      <sz val="14"/>
      <color theme="1"/>
      <name val="ＭＳ Ｐゴシック"/>
      <family val="3"/>
      <charset val="128"/>
      <scheme val="minor"/>
    </font>
  </fonts>
  <fills count="13">
    <fill>
      <patternFill patternType="none"/>
    </fill>
    <fill>
      <patternFill patternType="gray125"/>
    </fill>
    <fill>
      <patternFill patternType="solid">
        <fgColor theme="9" tint="-0.2499465926084170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4"/>
        <bgColor theme="4"/>
      </patternFill>
    </fill>
    <fill>
      <patternFill patternType="solid">
        <fgColor rgb="FF7030A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3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auto="1"/>
      </right>
      <top style="thin">
        <color indexed="64"/>
      </top>
      <bottom/>
      <diagonal/>
    </border>
    <border>
      <left/>
      <right/>
      <top/>
      <bottom style="thick">
        <color theme="4" tint="0.499984740745262"/>
      </bottom>
      <diagonal/>
    </border>
    <border>
      <left style="medium">
        <color indexed="64"/>
      </left>
      <right style="thin">
        <color auto="1"/>
      </right>
      <top style="thin">
        <color auto="1"/>
      </top>
      <bottom/>
      <diagonal/>
    </border>
    <border>
      <left/>
      <right style="thin">
        <color theme="0"/>
      </right>
      <top style="thick">
        <color theme="0"/>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thin">
        <color auto="1"/>
      </right>
      <top/>
      <bottom style="medium">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style="medium">
        <color indexed="64"/>
      </left>
      <right/>
      <top/>
      <bottom style="medium">
        <color indexed="64"/>
      </bottom>
      <diagonal/>
    </border>
    <border>
      <left style="thin">
        <color auto="1"/>
      </left>
      <right style="thin">
        <color auto="1"/>
      </right>
      <top style="medium">
        <color indexed="64"/>
      </top>
      <bottom style="thin">
        <color auto="1"/>
      </bottom>
      <diagonal/>
    </border>
    <border>
      <left style="medium">
        <color indexed="64"/>
      </left>
      <right/>
      <top style="medium">
        <color indexed="64"/>
      </top>
      <bottom/>
      <diagonal/>
    </border>
    <border>
      <left/>
      <right style="thin">
        <color auto="1"/>
      </right>
      <top style="medium">
        <color indexed="64"/>
      </top>
      <bottom/>
      <diagonal/>
    </border>
    <border>
      <left/>
      <right style="thin">
        <color auto="1"/>
      </right>
      <top/>
      <bottom style="medium">
        <color indexed="64"/>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right style="thin">
        <color auto="1"/>
      </right>
      <top style="medium">
        <color indexed="64"/>
      </top>
      <bottom style="medium">
        <color indexed="64"/>
      </bottom>
      <diagonal/>
    </border>
    <border>
      <left style="thin">
        <color auto="1"/>
      </left>
      <right/>
      <top style="medium">
        <color indexed="64"/>
      </top>
      <bottom/>
      <diagonal/>
    </border>
    <border>
      <left style="thin">
        <color indexed="64"/>
      </left>
      <right style="thin">
        <color auto="1"/>
      </right>
      <top style="thin">
        <color indexed="64"/>
      </top>
      <bottom style="thin">
        <color theme="0"/>
      </bottom>
      <diagonal/>
    </border>
    <border>
      <left style="thin">
        <color indexed="64"/>
      </left>
      <right style="medium">
        <color indexed="64"/>
      </right>
      <top style="thin">
        <color indexed="64"/>
      </top>
      <bottom style="thin">
        <color theme="0"/>
      </bottom>
      <diagonal/>
    </border>
    <border>
      <left/>
      <right/>
      <top style="thin">
        <color auto="1"/>
      </top>
      <bottom style="thin">
        <color auto="1"/>
      </bottom>
      <diagonal/>
    </border>
  </borders>
  <cellStyleXfs count="7">
    <xf numFmtId="0" fontId="0" fillId="0" borderId="0"/>
    <xf numFmtId="0" fontId="5" fillId="0" borderId="10" applyNumberFormat="0" applyFill="0" applyAlignment="0" applyProtection="0">
      <alignment vertical="center"/>
    </xf>
    <xf numFmtId="0" fontId="7" fillId="2" borderId="12">
      <alignment horizontal="left" vertical="center" indent="1"/>
    </xf>
    <xf numFmtId="0" fontId="9" fillId="0" borderId="13">
      <alignment vertical="center"/>
    </xf>
    <xf numFmtId="0" fontId="10" fillId="0" borderId="14">
      <alignment horizontal="center" vertical="center"/>
    </xf>
    <xf numFmtId="0" fontId="9" fillId="3" borderId="13">
      <alignment vertical="center"/>
    </xf>
    <xf numFmtId="0" fontId="10" fillId="3" borderId="14">
      <alignment horizontal="center" vertical="center"/>
    </xf>
  </cellStyleXfs>
  <cellXfs count="114">
    <xf numFmtId="0" fontId="0" fillId="0" borderId="0" xfId="0"/>
    <xf numFmtId="0" fontId="0" fillId="0" borderId="1" xfId="0" applyBorder="1"/>
    <xf numFmtId="0" fontId="0" fillId="0" borderId="2" xfId="0" applyBorder="1"/>
    <xf numFmtId="0" fontId="0" fillId="0" borderId="3" xfId="0" applyBorder="1"/>
    <xf numFmtId="0" fontId="0" fillId="0" borderId="11" xfId="0" applyBorder="1"/>
    <xf numFmtId="0" fontId="0" fillId="0" borderId="9" xfId="0" applyBorder="1"/>
    <xf numFmtId="0" fontId="1" fillId="0" borderId="0" xfId="0" applyFont="1" applyAlignment="1">
      <alignment horizontal="center" vertical="center"/>
    </xf>
    <xf numFmtId="0" fontId="11" fillId="0" borderId="0" xfId="1" applyFont="1" applyBorder="1" applyAlignment="1">
      <alignment horizontal="left" vertical="center"/>
    </xf>
    <xf numFmtId="0" fontId="6" fillId="0" borderId="0" xfId="1" applyFont="1" applyBorder="1" applyAlignment="1">
      <alignment horizontal="left" vertical="center"/>
    </xf>
    <xf numFmtId="0" fontId="8" fillId="2" borderId="6" xfId="2" applyFont="1" applyBorder="1">
      <alignment horizontal="left" vertical="center" indent="1"/>
    </xf>
    <xf numFmtId="0" fontId="8" fillId="2" borderId="7" xfId="2" applyFont="1" applyBorder="1">
      <alignment horizontal="left" vertical="center" indent="1"/>
    </xf>
    <xf numFmtId="0" fontId="8" fillId="2" borderId="8" xfId="2" applyFont="1" applyBorder="1">
      <alignment horizontal="left" vertical="center" indent="1"/>
    </xf>
    <xf numFmtId="0" fontId="0" fillId="4" borderId="0" xfId="0" applyFill="1"/>
    <xf numFmtId="0" fontId="0" fillId="5" borderId="0" xfId="0" applyFill="1"/>
    <xf numFmtId="0" fontId="0" fillId="6" borderId="0" xfId="0" applyFill="1"/>
    <xf numFmtId="0" fontId="0" fillId="7" borderId="0" xfId="0" applyFill="1"/>
    <xf numFmtId="0" fontId="3" fillId="0" borderId="0" xfId="0" applyFont="1" applyAlignment="1">
      <alignment horizontal="center" vertical="center"/>
    </xf>
    <xf numFmtId="0" fontId="12" fillId="0" borderId="17" xfId="3" applyFont="1" applyBorder="1">
      <alignment vertical="center"/>
    </xf>
    <xf numFmtId="0" fontId="12" fillId="0" borderId="18" xfId="3" applyFont="1" applyBorder="1">
      <alignment vertical="center"/>
    </xf>
    <xf numFmtId="0" fontId="12" fillId="0" borderId="19" xfId="3" applyFont="1" applyBorder="1">
      <alignment vertical="center"/>
    </xf>
    <xf numFmtId="0" fontId="12" fillId="0" borderId="2" xfId="3" applyFont="1" applyBorder="1">
      <alignment vertical="center"/>
    </xf>
    <xf numFmtId="0" fontId="12" fillId="0" borderId="1" xfId="3" applyFont="1" applyBorder="1">
      <alignment vertical="center"/>
    </xf>
    <xf numFmtId="0" fontId="12" fillId="0" borderId="3" xfId="3" applyFont="1" applyBorder="1">
      <alignment vertical="center"/>
    </xf>
    <xf numFmtId="0" fontId="12" fillId="0" borderId="4" xfId="3" applyFont="1" applyBorder="1">
      <alignment vertical="center"/>
    </xf>
    <xf numFmtId="0" fontId="12" fillId="4" borderId="5" xfId="3" applyFont="1" applyFill="1" applyBorder="1">
      <alignment vertical="center"/>
    </xf>
    <xf numFmtId="0" fontId="12" fillId="0" borderId="5" xfId="3" applyFont="1" applyBorder="1">
      <alignment vertical="center"/>
    </xf>
    <xf numFmtId="0" fontId="12" fillId="0" borderId="16" xfId="3" applyFont="1" applyBorder="1">
      <alignment vertical="center"/>
    </xf>
    <xf numFmtId="0" fontId="13" fillId="0" borderId="14" xfId="4" applyFont="1">
      <alignment horizontal="center" vertical="center"/>
    </xf>
    <xf numFmtId="0" fontId="14" fillId="2" borderId="6" xfId="2" applyFont="1" applyBorder="1">
      <alignment horizontal="left" vertical="center" indent="1"/>
    </xf>
    <xf numFmtId="0" fontId="14" fillId="2" borderId="7" xfId="2" applyFont="1" applyBorder="1">
      <alignment horizontal="left" vertical="center" indent="1"/>
    </xf>
    <xf numFmtId="0" fontId="14" fillId="2" borderId="8" xfId="2" applyFont="1" applyBorder="1">
      <alignment horizontal="left" vertical="center" indent="1"/>
    </xf>
    <xf numFmtId="0" fontId="12" fillId="4" borderId="17" xfId="3" applyFont="1" applyFill="1" applyBorder="1">
      <alignment vertical="center"/>
    </xf>
    <xf numFmtId="0" fontId="12" fillId="4" borderId="18" xfId="3" applyFont="1" applyFill="1" applyBorder="1">
      <alignment vertical="center"/>
    </xf>
    <xf numFmtId="0" fontId="12" fillId="4" borderId="19" xfId="3" applyFont="1" applyFill="1" applyBorder="1">
      <alignment vertical="center"/>
    </xf>
    <xf numFmtId="0" fontId="12" fillId="4" borderId="2" xfId="3" applyFont="1" applyFill="1" applyBorder="1">
      <alignment vertical="center"/>
    </xf>
    <xf numFmtId="0" fontId="12" fillId="4" borderId="1" xfId="3" applyFont="1" applyFill="1" applyBorder="1">
      <alignment vertical="center"/>
    </xf>
    <xf numFmtId="0" fontId="12" fillId="4" borderId="3" xfId="3" applyFont="1" applyFill="1" applyBorder="1">
      <alignment vertical="center"/>
    </xf>
    <xf numFmtId="0" fontId="4" fillId="0" borderId="0" xfId="0" applyFont="1"/>
    <xf numFmtId="0" fontId="12" fillId="6" borderId="2" xfId="3" applyFont="1" applyFill="1" applyBorder="1">
      <alignment vertical="center"/>
    </xf>
    <xf numFmtId="0" fontId="12" fillId="6" borderId="1" xfId="3" applyFont="1" applyFill="1" applyBorder="1">
      <alignment vertical="center"/>
    </xf>
    <xf numFmtId="0" fontId="12" fillId="6" borderId="3" xfId="3" applyFont="1" applyFill="1" applyBorder="1">
      <alignment vertical="center"/>
    </xf>
    <xf numFmtId="0" fontId="12" fillId="7" borderId="2" xfId="3" applyFont="1" applyFill="1" applyBorder="1">
      <alignment vertical="center"/>
    </xf>
    <xf numFmtId="0" fontId="12" fillId="7" borderId="1" xfId="3" applyFont="1" applyFill="1" applyBorder="1">
      <alignment vertical="center"/>
    </xf>
    <xf numFmtId="0" fontId="12" fillId="7" borderId="3" xfId="3" applyFont="1" applyFill="1" applyBorder="1">
      <alignment vertical="center"/>
    </xf>
    <xf numFmtId="0" fontId="12" fillId="7" borderId="4" xfId="3" applyFont="1" applyFill="1" applyBorder="1">
      <alignment vertical="center"/>
    </xf>
    <xf numFmtId="0" fontId="12" fillId="7" borderId="5" xfId="3" applyFont="1" applyFill="1" applyBorder="1">
      <alignment vertical="center"/>
    </xf>
    <xf numFmtId="0" fontId="12" fillId="5" borderId="5" xfId="3" applyFont="1" applyFill="1" applyBorder="1">
      <alignment vertical="center"/>
    </xf>
    <xf numFmtId="0" fontId="12" fillId="8" borderId="2" xfId="3" applyFont="1" applyFill="1" applyBorder="1">
      <alignment vertical="center"/>
    </xf>
    <xf numFmtId="0" fontId="12" fillId="8" borderId="1" xfId="3" applyFont="1" applyFill="1" applyBorder="1">
      <alignment vertical="center"/>
    </xf>
    <xf numFmtId="0" fontId="12" fillId="8" borderId="3" xfId="3" applyFont="1" applyFill="1" applyBorder="1">
      <alignment vertical="center"/>
    </xf>
    <xf numFmtId="0" fontId="0" fillId="8" borderId="0" xfId="0" applyFill="1"/>
    <xf numFmtId="0" fontId="1" fillId="0" borderId="20" xfId="0" applyFont="1" applyBorder="1" applyAlignment="1">
      <alignment horizontal="center" vertical="top" wrapText="1"/>
    </xf>
    <xf numFmtId="0" fontId="1" fillId="0" borderId="20" xfId="0" applyFont="1" applyBorder="1" applyAlignment="1">
      <alignment horizontal="center" vertical="center"/>
    </xf>
    <xf numFmtId="0" fontId="16" fillId="0" borderId="0" xfId="0" applyFont="1" applyAlignment="1">
      <alignment horizontal="center" vertical="center"/>
    </xf>
    <xf numFmtId="14" fontId="17" fillId="0" borderId="0" xfId="0" applyNumberFormat="1" applyFont="1" applyAlignment="1">
      <alignment horizontal="center" vertical="center"/>
    </xf>
    <xf numFmtId="0" fontId="12" fillId="7" borderId="17" xfId="3" applyFont="1" applyFill="1" applyBorder="1">
      <alignment vertical="center"/>
    </xf>
    <xf numFmtId="0" fontId="12" fillId="7" borderId="18" xfId="3" applyFont="1" applyFill="1" applyBorder="1">
      <alignment vertical="center"/>
    </xf>
    <xf numFmtId="0" fontId="3" fillId="0" borderId="1" xfId="0" applyFont="1" applyBorder="1"/>
    <xf numFmtId="0" fontId="3" fillId="0" borderId="6" xfId="0" applyFont="1" applyBorder="1" applyAlignment="1">
      <alignment horizontal="center"/>
    </xf>
    <xf numFmtId="0" fontId="3" fillId="0" borderId="7" xfId="0" applyFont="1" applyBorder="1"/>
    <xf numFmtId="0" fontId="3" fillId="4" borderId="3" xfId="0" applyFont="1" applyFill="1" applyBorder="1"/>
    <xf numFmtId="0" fontId="1" fillId="9" borderId="31" xfId="0" applyFont="1" applyFill="1" applyBorder="1" applyAlignment="1">
      <alignment horizontal="center" vertical="center"/>
    </xf>
    <xf numFmtId="0" fontId="3" fillId="10" borderId="9" xfId="0" applyFont="1" applyFill="1" applyBorder="1"/>
    <xf numFmtId="0" fontId="3" fillId="4" borderId="9" xfId="0" applyFont="1" applyFill="1" applyBorder="1"/>
    <xf numFmtId="0" fontId="3" fillId="5" borderId="9" xfId="0" applyFont="1" applyFill="1" applyBorder="1"/>
    <xf numFmtId="0" fontId="1" fillId="0" borderId="33" xfId="0" applyFont="1" applyBorder="1" applyAlignment="1">
      <alignment horizontal="center" vertical="center"/>
    </xf>
    <xf numFmtId="0" fontId="3" fillId="0" borderId="30" xfId="0" applyFont="1" applyBorder="1"/>
    <xf numFmtId="0" fontId="1" fillId="9" borderId="34" xfId="0" applyFont="1" applyFill="1" applyBorder="1" applyAlignment="1">
      <alignment horizontal="center" vertical="center"/>
    </xf>
    <xf numFmtId="0" fontId="3" fillId="4" borderId="34" xfId="0" applyFont="1" applyFill="1" applyBorder="1"/>
    <xf numFmtId="0" fontId="3" fillId="4" borderId="22" xfId="0" applyFont="1" applyFill="1" applyBorder="1"/>
    <xf numFmtId="0" fontId="3" fillId="7" borderId="22" xfId="0" applyFont="1" applyFill="1" applyBorder="1"/>
    <xf numFmtId="0" fontId="3" fillId="0" borderId="29" xfId="0" applyFont="1" applyBorder="1"/>
    <xf numFmtId="0" fontId="1" fillId="0" borderId="30" xfId="0" applyFont="1" applyBorder="1" applyAlignment="1">
      <alignment horizontal="left" vertical="center"/>
    </xf>
    <xf numFmtId="0" fontId="3" fillId="0" borderId="28" xfId="0" applyFont="1" applyBorder="1"/>
    <xf numFmtId="0" fontId="1" fillId="0" borderId="1" xfId="0" applyFont="1" applyBorder="1" applyAlignment="1">
      <alignment vertical="top" wrapText="1"/>
    </xf>
    <xf numFmtId="0" fontId="1" fillId="0" borderId="1" xfId="0" applyFont="1" applyBorder="1" applyAlignment="1">
      <alignment horizontal="right" vertical="center"/>
    </xf>
    <xf numFmtId="0" fontId="3" fillId="10" borderId="31" xfId="0" applyFont="1" applyFill="1" applyBorder="1"/>
    <xf numFmtId="0" fontId="1" fillId="10" borderId="9" xfId="0" applyFont="1" applyFill="1" applyBorder="1" applyAlignment="1">
      <alignment horizontal="left" vertical="center"/>
    </xf>
    <xf numFmtId="0" fontId="3" fillId="0" borderId="0" xfId="0" applyFont="1" applyAlignment="1">
      <alignment horizontal="center"/>
    </xf>
    <xf numFmtId="0" fontId="3" fillId="11" borderId="2" xfId="0" applyFont="1" applyFill="1" applyBorder="1"/>
    <xf numFmtId="0" fontId="3" fillId="11" borderId="1" xfId="0" applyFont="1" applyFill="1" applyBorder="1"/>
    <xf numFmtId="0" fontId="3" fillId="4" borderId="35" xfId="0" applyFont="1" applyFill="1" applyBorder="1"/>
    <xf numFmtId="0" fontId="3" fillId="4" borderId="36" xfId="0" applyFont="1" applyFill="1" applyBorder="1"/>
    <xf numFmtId="0" fontId="3" fillId="12" borderId="2" xfId="0" applyFont="1" applyFill="1" applyBorder="1"/>
    <xf numFmtId="0" fontId="3" fillId="12" borderId="1" xfId="0" applyFont="1" applyFill="1" applyBorder="1"/>
    <xf numFmtId="0" fontId="3" fillId="6" borderId="35" xfId="0" applyFont="1" applyFill="1" applyBorder="1"/>
    <xf numFmtId="0" fontId="3" fillId="5" borderId="35" xfId="0" applyFont="1" applyFill="1" applyBorder="1"/>
    <xf numFmtId="0" fontId="3" fillId="5" borderId="1" xfId="0" applyFont="1" applyFill="1" applyBorder="1"/>
    <xf numFmtId="0" fontId="12" fillId="4" borderId="4" xfId="3" applyFont="1" applyFill="1" applyBorder="1">
      <alignment vertical="center"/>
    </xf>
    <xf numFmtId="0" fontId="12" fillId="7" borderId="19" xfId="3" applyFont="1" applyFill="1" applyBorder="1">
      <alignment vertical="center"/>
    </xf>
    <xf numFmtId="14" fontId="3" fillId="0" borderId="0" xfId="0" applyNumberFormat="1" applyFont="1"/>
    <xf numFmtId="14" fontId="0" fillId="0" borderId="0" xfId="0" applyNumberFormat="1"/>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15" fillId="0" borderId="24" xfId="0" applyFont="1" applyBorder="1" applyAlignment="1">
      <alignment horizontal="center" vertical="center"/>
    </xf>
    <xf numFmtId="0" fontId="15" fillId="0" borderId="15" xfId="0" applyFont="1" applyBorder="1" applyAlignment="1">
      <alignment horizontal="center" vertical="center"/>
    </xf>
    <xf numFmtId="0" fontId="15" fillId="0" borderId="9" xfId="0" applyFont="1" applyBorder="1" applyAlignment="1">
      <alignment horizontal="center" vertical="center"/>
    </xf>
    <xf numFmtId="0" fontId="15" fillId="0" borderId="32" xfId="0" applyFont="1" applyBorder="1" applyAlignment="1">
      <alignment horizontal="center" vertic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3" xfId="0" applyFont="1" applyBorder="1" applyAlignment="1">
      <alignment horizontal="center" vertical="center"/>
    </xf>
    <xf numFmtId="0" fontId="18" fillId="0" borderId="27" xfId="0" applyFont="1" applyBorder="1" applyAlignment="1">
      <alignment horizontal="center" vertical="center"/>
    </xf>
    <xf numFmtId="0" fontId="0" fillId="0" borderId="21" xfId="0" applyBorder="1"/>
    <xf numFmtId="0" fontId="0" fillId="0" borderId="37" xfId="0" applyBorder="1"/>
    <xf numFmtId="0" fontId="0" fillId="0" borderId="30" xfId="0" applyBorder="1"/>
    <xf numFmtId="0" fontId="3" fillId="0" borderId="21" xfId="0" applyFont="1" applyBorder="1" applyAlignment="1">
      <alignment horizontal="center"/>
    </xf>
    <xf numFmtId="0" fontId="3" fillId="0" borderId="37" xfId="0" applyFont="1" applyBorder="1" applyAlignment="1">
      <alignment horizontal="center"/>
    </xf>
    <xf numFmtId="0" fontId="3" fillId="0" borderId="30" xfId="0" applyFont="1" applyBorder="1" applyAlignment="1">
      <alignment horizontal="center"/>
    </xf>
    <xf numFmtId="0" fontId="0" fillId="0" borderId="21" xfId="0" applyBorder="1" applyAlignment="1">
      <alignment horizontal="left"/>
    </xf>
    <xf numFmtId="0" fontId="0" fillId="0" borderId="37" xfId="0" applyBorder="1" applyAlignment="1">
      <alignment horizontal="left"/>
    </xf>
    <xf numFmtId="0" fontId="0" fillId="0" borderId="30" xfId="0" applyBorder="1" applyAlignment="1">
      <alignment horizontal="left"/>
    </xf>
  </cellXfs>
  <cellStyles count="7">
    <cellStyle name="月単位のビューの曜日" xfId="2" xr:uid="{EE5C3352-622E-407E-8A18-5733196B9C98}"/>
    <cellStyle name="見出し 2" xfId="1" builtinId="17"/>
    <cellStyle name="日" xfId="3" xr:uid="{7C2F2179-EDD7-4AAC-AF03-40AE2FB5275A}"/>
    <cellStyle name="標準" xfId="0" builtinId="0"/>
    <cellStyle name="毎日のメモ" xfId="4" xr:uid="{DE19C4E0-6B72-4098-8B7E-7F2213A99D04}"/>
    <cellStyle name="網かけ表示された日付" xfId="5" xr:uid="{0999FE77-B3CB-4FAC-AFEC-F97E9B6077A8}"/>
    <cellStyle name="網かけ表示された日付メモ" xfId="6" xr:uid="{1216EBEB-F177-4701-B6F3-7F6A3A197035}"/>
  </cellStyles>
  <dxfs count="6">
    <dxf>
      <font>
        <b/>
        <i val="0"/>
        <strike val="0"/>
        <condense val="0"/>
        <extend val="0"/>
        <outline val="0"/>
        <shadow val="0"/>
        <u val="none"/>
        <vertAlign val="baseline"/>
        <sz val="11"/>
        <color theme="1"/>
        <name val="ＭＳ Ｐゴシック"/>
        <family val="3"/>
        <charset val="128"/>
        <scheme val="minor"/>
      </font>
      <fill>
        <patternFill patternType="solid">
          <fgColor indexed="64"/>
          <bgColor rgb="FFFFFF00"/>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ＭＳ Ｐゴシック"/>
        <family val="3"/>
        <charset val="128"/>
        <scheme val="minor"/>
      </font>
      <fill>
        <patternFill patternType="solid">
          <fgColor indexed="64"/>
          <bgColor rgb="FFFF0000"/>
        </patternFill>
      </fill>
      <border diagonalUp="0" diagonalDown="0">
        <left style="thin">
          <color indexed="64"/>
        </left>
        <right style="thin">
          <color auto="1"/>
        </right>
        <top style="thin">
          <color indexed="64"/>
        </top>
        <bottom/>
        <vertical/>
        <horizontal/>
      </border>
    </dxf>
    <dxf>
      <font>
        <b/>
        <i val="0"/>
        <strike val="0"/>
        <condense val="0"/>
        <extend val="0"/>
        <outline val="0"/>
        <shadow val="0"/>
        <u val="none"/>
        <vertAlign val="baseline"/>
        <sz val="11"/>
        <color theme="1"/>
        <name val="ＭＳ Ｐゴシック"/>
        <family val="3"/>
        <charset val="128"/>
        <scheme val="minor"/>
      </font>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ＭＳ Ｐゴシック"/>
        <family val="3"/>
        <charset val="128"/>
        <scheme val="minor"/>
      </font>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ＭＳ Ｐゴシック"/>
        <family val="3"/>
        <charset val="128"/>
        <scheme val="minor"/>
      </font>
      <border diagonalUp="0" diagonalDown="0">
        <left/>
        <right style="thin">
          <color auto="1"/>
        </right>
        <top style="thin">
          <color auto="1"/>
        </top>
        <bottom style="thin">
          <color auto="1"/>
        </bottom>
        <vertical/>
        <horizontal/>
      </border>
    </dxf>
    <dxf>
      <border outline="0">
        <left style="medium">
          <color indexed="64"/>
        </left>
        <right style="medium">
          <color indexed="64"/>
        </right>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171450</xdr:colOff>
      <xdr:row>0</xdr:row>
      <xdr:rowOff>238125</xdr:rowOff>
    </xdr:from>
    <xdr:to>
      <xdr:col>7</xdr:col>
      <xdr:colOff>438150</xdr:colOff>
      <xdr:row>2</xdr:row>
      <xdr:rowOff>85725</xdr:rowOff>
    </xdr:to>
    <xdr:pic>
      <xdr:nvPicPr>
        <xdr:cNvPr id="2" name="月単位のビューのアイコン" descr="カレンダー">
          <a:extLst>
            <a:ext uri="{FF2B5EF4-FFF2-40B4-BE49-F238E27FC236}">
              <a16:creationId xmlns:a16="http://schemas.microsoft.com/office/drawing/2014/main" id="{10AF3317-9224-4426-964B-3860AE2E4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972050" y="457200"/>
          <a:ext cx="2667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19</xdr:row>
      <xdr:rowOff>152400</xdr:rowOff>
    </xdr:from>
    <xdr:to>
      <xdr:col>12</xdr:col>
      <xdr:colOff>496241</xdr:colOff>
      <xdr:row>35</xdr:row>
      <xdr:rowOff>76200</xdr:rowOff>
    </xdr:to>
    <xdr:pic>
      <xdr:nvPicPr>
        <xdr:cNvPr id="3" name="図 2">
          <a:extLst>
            <a:ext uri="{FF2B5EF4-FFF2-40B4-BE49-F238E27FC236}">
              <a16:creationId xmlns:a16="http://schemas.microsoft.com/office/drawing/2014/main" id="{F336DC43-1EF6-C5FF-C329-E51AC014E5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81400" y="3409950"/>
          <a:ext cx="5258741" cy="2667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87FA75-5DE4-469E-9D90-5C11A6F6311C}" name="テーブル6" displayName="テーブル6" ref="A3:E14" totalsRowShown="0" tableBorderDxfId="5">
  <autoFilter ref="A3:E14" xr:uid="{3787FA75-5DE4-469E-9D90-5C11A6F6311C}"/>
  <sortState xmlns:xlrd2="http://schemas.microsoft.com/office/spreadsheetml/2017/richdata2" ref="A4:E14">
    <sortCondition descending="1" ref="E3:E14"/>
  </sortState>
  <tableColumns count="5">
    <tableColumn id="1" xr3:uid="{D136DC3F-9536-4151-9394-4B6B45BE38D4}" name="項目" dataDxfId="4"/>
    <tableColumn id="2" xr3:uid="{F692E059-0D34-4BA9-90F7-45DB63F05E6A}" name="見積コスト_x000a_1コスト:1時間" dataDxfId="3"/>
    <tableColumn id="3" xr3:uid="{82B9AE3D-A5D0-433C-A44A-892BCA147C5A}" name="実コスト" dataDxfId="2"/>
    <tableColumn id="4" xr3:uid="{1F93F461-A8D7-412D-97A9-A08B78B6B530}" name="重要度" dataDxfId="1"/>
    <tableColumn id="5" xr3:uid="{F82749D0-4209-4736-A07C-39E1FA984CBA}" name="完成度" dataDxfId="0">
      <calculatedColumnFormula>IF(C4 &gt;= 1,"完成","未完成")</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opLeftCell="A3" zoomScale="145" zoomScaleNormal="145" workbookViewId="0">
      <selection activeCell="B5" sqref="B5"/>
    </sheetView>
  </sheetViews>
  <sheetFormatPr defaultRowHeight="13.5" x14ac:dyDescent="0.15"/>
  <cols>
    <col min="1" max="1" width="51.5" bestFit="1" customWidth="1"/>
    <col min="2" max="2" width="13.75" customWidth="1"/>
    <col min="4" max="5" width="9" customWidth="1"/>
    <col min="6" max="6" width="35.625" bestFit="1" customWidth="1"/>
    <col min="7" max="7" width="19.75" bestFit="1" customWidth="1"/>
  </cols>
  <sheetData>
    <row r="1" spans="1:10" ht="16.5" customHeight="1" x14ac:dyDescent="0.15">
      <c r="A1" s="95" t="s">
        <v>42</v>
      </c>
      <c r="B1" s="101" t="str">
        <f>"プロト日数 :" &amp; (COUNT(スケジュール表!B7:C7)+COUNT(スケジュール表!A11:G14))</f>
        <v>プロト日数 :30</v>
      </c>
      <c r="C1" s="102"/>
      <c r="D1" s="97" t="str">
        <f ca="1">"残り作成日数:" &amp; (F2)-TODAY()</f>
        <v>残り作成日数:30</v>
      </c>
      <c r="E1" s="98"/>
      <c r="F1" s="53" t="s">
        <v>34</v>
      </c>
    </row>
    <row r="2" spans="1:10" ht="19.5" thickBot="1" x14ac:dyDescent="0.2">
      <c r="A2" s="96"/>
      <c r="B2" s="103"/>
      <c r="C2" s="104"/>
      <c r="D2" s="99"/>
      <c r="E2" s="100"/>
      <c r="F2" s="54">
        <f>DATE(2026,1,23)</f>
        <v>46045</v>
      </c>
    </row>
    <row r="3" spans="1:10" ht="27.75" thickBot="1" x14ac:dyDescent="0.2">
      <c r="A3" s="65" t="s">
        <v>0</v>
      </c>
      <c r="B3" s="51" t="s">
        <v>12</v>
      </c>
      <c r="C3" s="52" t="s">
        <v>1</v>
      </c>
      <c r="D3" s="61" t="s">
        <v>48</v>
      </c>
      <c r="E3" s="67" t="s">
        <v>8</v>
      </c>
      <c r="F3" s="6" t="s">
        <v>17</v>
      </c>
    </row>
    <row r="4" spans="1:10" x14ac:dyDescent="0.15">
      <c r="A4" s="71" t="s">
        <v>11</v>
      </c>
      <c r="B4" s="73"/>
      <c r="C4" s="73"/>
      <c r="D4" s="76" t="s">
        <v>40</v>
      </c>
      <c r="E4" s="68" t="str">
        <f t="shared" ref="E4:E14" si="0">IF(C4 &gt;= 1,"完成","未完成")</f>
        <v>未完成</v>
      </c>
      <c r="F4" s="78" t="str">
        <f>B15 / 30 &amp; "時間"</f>
        <v>0.966666666666667時間</v>
      </c>
    </row>
    <row r="5" spans="1:10" x14ac:dyDescent="0.15">
      <c r="A5" s="66" t="s">
        <v>91</v>
      </c>
      <c r="B5" s="57">
        <v>2</v>
      </c>
      <c r="C5" s="57"/>
      <c r="D5" s="62" t="s">
        <v>40</v>
      </c>
      <c r="E5" s="69" t="str">
        <f t="shared" si="0"/>
        <v>未完成</v>
      </c>
    </row>
    <row r="6" spans="1:10" x14ac:dyDescent="0.15">
      <c r="A6" s="66" t="s">
        <v>38</v>
      </c>
      <c r="B6" s="57">
        <v>8</v>
      </c>
      <c r="C6" s="57"/>
      <c r="D6" s="63" t="s">
        <v>15</v>
      </c>
      <c r="E6" s="69" t="str">
        <f t="shared" si="0"/>
        <v>未完成</v>
      </c>
    </row>
    <row r="7" spans="1:10" x14ac:dyDescent="0.15">
      <c r="A7" s="66" t="s">
        <v>44</v>
      </c>
      <c r="B7" s="57">
        <v>7</v>
      </c>
      <c r="C7" s="57"/>
      <c r="D7" s="64" t="s">
        <v>13</v>
      </c>
      <c r="E7" s="69" t="str">
        <f t="shared" si="0"/>
        <v>未完成</v>
      </c>
    </row>
    <row r="8" spans="1:10" x14ac:dyDescent="0.15">
      <c r="A8" s="66" t="s">
        <v>37</v>
      </c>
      <c r="B8" s="57">
        <v>2</v>
      </c>
      <c r="C8" s="57">
        <v>3</v>
      </c>
      <c r="D8" s="62" t="s">
        <v>40</v>
      </c>
      <c r="E8" s="70" t="str">
        <f t="shared" si="0"/>
        <v>完成</v>
      </c>
    </row>
    <row r="9" spans="1:10" x14ac:dyDescent="0.15">
      <c r="A9" s="72" t="s">
        <v>35</v>
      </c>
      <c r="B9" s="74">
        <v>5</v>
      </c>
      <c r="C9" s="75">
        <v>5</v>
      </c>
      <c r="D9" s="77" t="s">
        <v>40</v>
      </c>
      <c r="E9" s="70" t="str">
        <f t="shared" si="0"/>
        <v>完成</v>
      </c>
    </row>
    <row r="10" spans="1:10" x14ac:dyDescent="0.15">
      <c r="A10" s="66" t="s">
        <v>2</v>
      </c>
      <c r="B10" s="57"/>
      <c r="C10" s="57">
        <v>6</v>
      </c>
      <c r="D10" s="62" t="s">
        <v>40</v>
      </c>
      <c r="E10" s="70" t="str">
        <f t="shared" si="0"/>
        <v>完成</v>
      </c>
    </row>
    <row r="11" spans="1:10" x14ac:dyDescent="0.15">
      <c r="A11" s="66" t="s">
        <v>9</v>
      </c>
      <c r="B11" s="57">
        <v>1</v>
      </c>
      <c r="C11" s="57">
        <v>1</v>
      </c>
      <c r="D11" s="62" t="s">
        <v>40</v>
      </c>
      <c r="E11" s="70" t="str">
        <f t="shared" si="0"/>
        <v>完成</v>
      </c>
    </row>
    <row r="12" spans="1:10" x14ac:dyDescent="0.15">
      <c r="A12" s="66" t="s">
        <v>39</v>
      </c>
      <c r="B12" s="57">
        <v>1</v>
      </c>
      <c r="C12" s="57">
        <v>2</v>
      </c>
      <c r="D12" s="62" t="s">
        <v>40</v>
      </c>
      <c r="E12" s="70" t="str">
        <f t="shared" si="0"/>
        <v>完成</v>
      </c>
    </row>
    <row r="13" spans="1:10" x14ac:dyDescent="0.15">
      <c r="A13" s="66" t="s">
        <v>10</v>
      </c>
      <c r="B13" s="57">
        <v>2</v>
      </c>
      <c r="C13" s="57">
        <v>3</v>
      </c>
      <c r="D13" s="62" t="s">
        <v>40</v>
      </c>
      <c r="E13" s="70" t="str">
        <f t="shared" si="0"/>
        <v>完成</v>
      </c>
    </row>
    <row r="14" spans="1:10" ht="14.25" thickBot="1" x14ac:dyDescent="0.2">
      <c r="A14" s="66" t="s">
        <v>36</v>
      </c>
      <c r="B14" s="57">
        <v>1</v>
      </c>
      <c r="C14" s="57">
        <v>3</v>
      </c>
      <c r="D14" s="62" t="s">
        <v>40</v>
      </c>
      <c r="E14" s="70" t="str">
        <f t="shared" si="0"/>
        <v>完成</v>
      </c>
    </row>
    <row r="15" spans="1:10" ht="14.25" thickBot="1" x14ac:dyDescent="0.2">
      <c r="A15" s="58" t="s">
        <v>16</v>
      </c>
      <c r="B15" s="59">
        <f>SUM(B5:B14)</f>
        <v>29</v>
      </c>
      <c r="C15" s="59"/>
      <c r="D15" s="59"/>
      <c r="E15" s="60" t="str">
        <f t="shared" ref="E15" si="1">IF(C15 &gt;= 1,"完成","未完成")</f>
        <v>未完成</v>
      </c>
      <c r="F15" t="s">
        <v>47</v>
      </c>
    </row>
    <row r="16" spans="1:10" x14ac:dyDescent="0.15">
      <c r="F16" s="2" t="s">
        <v>43</v>
      </c>
      <c r="G16" s="1">
        <v>5</v>
      </c>
      <c r="H16" s="1"/>
      <c r="I16" s="1" t="s">
        <v>14</v>
      </c>
      <c r="J16" s="3" t="str">
        <f t="shared" ref="J16:J21" si="2">IF(H16 &gt;= 1,"完成","未完成")</f>
        <v>未完成</v>
      </c>
    </row>
    <row r="17" spans="6:10" x14ac:dyDescent="0.15">
      <c r="F17" s="2" t="s">
        <v>5</v>
      </c>
      <c r="G17" s="1">
        <v>4</v>
      </c>
      <c r="H17" s="1"/>
      <c r="I17" s="1" t="s">
        <v>13</v>
      </c>
      <c r="J17" s="3" t="str">
        <f t="shared" si="2"/>
        <v>未完成</v>
      </c>
    </row>
    <row r="18" spans="6:10" x14ac:dyDescent="0.15">
      <c r="F18" s="2" t="s">
        <v>6</v>
      </c>
      <c r="G18" s="1">
        <v>3</v>
      </c>
      <c r="H18" s="1"/>
      <c r="I18" s="1" t="s">
        <v>13</v>
      </c>
      <c r="J18" s="3" t="str">
        <f t="shared" si="2"/>
        <v>未完成</v>
      </c>
    </row>
    <row r="19" spans="6:10" x14ac:dyDescent="0.15">
      <c r="F19" s="4" t="s">
        <v>7</v>
      </c>
      <c r="G19" s="5">
        <v>4</v>
      </c>
      <c r="H19" s="5"/>
      <c r="I19" s="5" t="s">
        <v>15</v>
      </c>
      <c r="J19" s="3" t="str">
        <f t="shared" si="2"/>
        <v>未完成</v>
      </c>
    </row>
    <row r="20" spans="6:10" x14ac:dyDescent="0.15">
      <c r="F20" s="79" t="s">
        <v>3</v>
      </c>
      <c r="G20" s="80">
        <v>8</v>
      </c>
      <c r="H20" s="80"/>
      <c r="I20" s="81" t="s">
        <v>15</v>
      </c>
      <c r="J20" s="82" t="str">
        <f t="shared" si="2"/>
        <v>未完成</v>
      </c>
    </row>
    <row r="21" spans="6:10" x14ac:dyDescent="0.15">
      <c r="F21" s="83" t="s">
        <v>4</v>
      </c>
      <c r="G21" s="84">
        <v>8</v>
      </c>
      <c r="H21" s="84"/>
      <c r="I21" s="85" t="s">
        <v>14</v>
      </c>
      <c r="J21" s="82" t="str">
        <f t="shared" si="2"/>
        <v>未完成</v>
      </c>
    </row>
    <row r="22" spans="6:10" x14ac:dyDescent="0.15">
      <c r="F22" s="79" t="s">
        <v>45</v>
      </c>
      <c r="G22" s="80">
        <v>7</v>
      </c>
      <c r="H22" s="80"/>
      <c r="I22" s="86" t="s">
        <v>13</v>
      </c>
      <c r="J22" s="82" t="str">
        <f>IF(H22 &gt;= 1,"完成","未完成")</f>
        <v>未完成</v>
      </c>
    </row>
    <row r="23" spans="6:10" x14ac:dyDescent="0.15">
      <c r="F23" s="83" t="s">
        <v>46</v>
      </c>
      <c r="G23" s="84">
        <v>7</v>
      </c>
      <c r="H23" s="84"/>
      <c r="I23" s="86" t="s">
        <v>13</v>
      </c>
      <c r="J23" s="82" t="str">
        <f>IF(H23 &gt;= 1,"完成","未完成")</f>
        <v>未完成</v>
      </c>
    </row>
    <row r="24" spans="6:10" x14ac:dyDescent="0.15">
      <c r="F24" s="79" t="s">
        <v>41</v>
      </c>
      <c r="G24" s="80">
        <v>6</v>
      </c>
      <c r="H24" s="80"/>
      <c r="I24" s="87" t="s">
        <v>13</v>
      </c>
      <c r="J24" s="60" t="str">
        <f>IF(H24 &gt;= 1,"完成","未完成")</f>
        <v>未完成</v>
      </c>
    </row>
  </sheetData>
  <mergeCells count="3">
    <mergeCell ref="A1:A2"/>
    <mergeCell ref="D1:E2"/>
    <mergeCell ref="B1:C2"/>
  </mergeCells>
  <phoneticPr fontId="2"/>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36056-0931-4695-A860-A7AEB63E59C4}">
  <dimension ref="A1:M31"/>
  <sheetViews>
    <sheetView topLeftCell="A8" zoomScale="70" zoomScaleNormal="70" workbookViewId="0">
      <selection activeCell="I17" sqref="I17"/>
    </sheetView>
  </sheetViews>
  <sheetFormatPr defaultRowHeight="13.5" x14ac:dyDescent="0.15"/>
  <cols>
    <col min="1" max="7" width="10.75" bestFit="1" customWidth="1"/>
  </cols>
  <sheetData>
    <row r="1" spans="1:10" ht="29.25" thickBot="1" x14ac:dyDescent="0.2">
      <c r="A1" s="7" t="s">
        <v>25</v>
      </c>
      <c r="B1" s="8"/>
      <c r="C1" s="8"/>
      <c r="D1" s="8"/>
      <c r="E1" s="8"/>
      <c r="F1" s="8"/>
      <c r="G1" s="8"/>
    </row>
    <row r="2" spans="1:10" ht="20.25" thickBot="1" x14ac:dyDescent="0.2">
      <c r="A2" s="9" t="s">
        <v>18</v>
      </c>
      <c r="B2" s="10" t="s">
        <v>19</v>
      </c>
      <c r="C2" s="10" t="s">
        <v>20</v>
      </c>
      <c r="D2" s="10" t="s">
        <v>21</v>
      </c>
      <c r="E2" s="10" t="s">
        <v>22</v>
      </c>
      <c r="F2" s="10" t="s">
        <v>23</v>
      </c>
      <c r="G2" s="11" t="s">
        <v>24</v>
      </c>
    </row>
    <row r="3" spans="1:10" ht="30" x14ac:dyDescent="0.15">
      <c r="A3" s="17">
        <f>COLUMN(A3)</f>
        <v>1</v>
      </c>
      <c r="B3" s="18">
        <f t="shared" ref="B3:G3" si="0">COLUMN(B3)</f>
        <v>2</v>
      </c>
      <c r="C3" s="18">
        <f t="shared" si="0"/>
        <v>3</v>
      </c>
      <c r="D3" s="18">
        <f t="shared" si="0"/>
        <v>4</v>
      </c>
      <c r="E3" s="18">
        <f t="shared" si="0"/>
        <v>5</v>
      </c>
      <c r="F3" s="18">
        <f t="shared" si="0"/>
        <v>6</v>
      </c>
      <c r="G3" s="19">
        <f t="shared" si="0"/>
        <v>7</v>
      </c>
      <c r="I3" s="12"/>
      <c r="J3" s="16" t="s">
        <v>29</v>
      </c>
    </row>
    <row r="4" spans="1:10" ht="30" x14ac:dyDescent="0.15">
      <c r="A4" s="20">
        <f>COLUMN(A4) +$G3</f>
        <v>8</v>
      </c>
      <c r="B4" s="21">
        <f t="shared" ref="B4:G4" si="1">COLUMN(B4) +$G$3</f>
        <v>9</v>
      </c>
      <c r="C4" s="21">
        <f t="shared" si="1"/>
        <v>10</v>
      </c>
      <c r="D4" s="21">
        <f t="shared" si="1"/>
        <v>11</v>
      </c>
      <c r="E4" s="21">
        <f t="shared" si="1"/>
        <v>12</v>
      </c>
      <c r="F4" s="21">
        <f t="shared" si="1"/>
        <v>13</v>
      </c>
      <c r="G4" s="22">
        <f t="shared" si="1"/>
        <v>14</v>
      </c>
      <c r="I4" s="14"/>
      <c r="J4" s="16" t="s">
        <v>30</v>
      </c>
    </row>
    <row r="5" spans="1:10" ht="30" x14ac:dyDescent="0.15">
      <c r="A5" s="20">
        <f>COLUMN(A5) +$G4</f>
        <v>15</v>
      </c>
      <c r="B5" s="21">
        <f t="shared" ref="B5:G6" si="2">COLUMN(B5) +$G4</f>
        <v>16</v>
      </c>
      <c r="C5" s="21">
        <f t="shared" si="2"/>
        <v>17</v>
      </c>
      <c r="D5" s="21">
        <f t="shared" si="2"/>
        <v>18</v>
      </c>
      <c r="E5" s="21">
        <f t="shared" si="2"/>
        <v>19</v>
      </c>
      <c r="F5" s="21">
        <f t="shared" si="2"/>
        <v>20</v>
      </c>
      <c r="G5" s="22">
        <f t="shared" si="2"/>
        <v>21</v>
      </c>
      <c r="I5" s="15"/>
      <c r="J5" s="16" t="s">
        <v>31</v>
      </c>
    </row>
    <row r="6" spans="1:10" ht="30" x14ac:dyDescent="0.15">
      <c r="A6" s="20">
        <f>COLUMN(A6) +$G5</f>
        <v>22</v>
      </c>
      <c r="B6" s="21">
        <f t="shared" si="2"/>
        <v>23</v>
      </c>
      <c r="C6" s="21">
        <f t="shared" si="2"/>
        <v>24</v>
      </c>
      <c r="D6" s="21">
        <f t="shared" si="2"/>
        <v>25</v>
      </c>
      <c r="E6" s="21">
        <f t="shared" si="2"/>
        <v>26</v>
      </c>
      <c r="F6" s="21">
        <f t="shared" si="2"/>
        <v>27</v>
      </c>
      <c r="G6" s="22">
        <f t="shared" si="2"/>
        <v>28</v>
      </c>
      <c r="I6" s="50"/>
      <c r="J6" s="16" t="s">
        <v>32</v>
      </c>
    </row>
    <row r="7" spans="1:10" ht="30.75" thickBot="1" x14ac:dyDescent="0.2">
      <c r="A7" s="23">
        <f>COLUMN(A7) +$G6</f>
        <v>29</v>
      </c>
      <c r="B7" s="24">
        <f>COLUMN(B7) +$G6</f>
        <v>30</v>
      </c>
      <c r="C7" s="24">
        <f>COLUMN(C7) +$G6</f>
        <v>31</v>
      </c>
      <c r="D7" s="25"/>
      <c r="E7" s="25"/>
      <c r="F7" s="25"/>
      <c r="G7" s="26"/>
      <c r="I7" s="13"/>
      <c r="J7" s="16" t="s">
        <v>33</v>
      </c>
    </row>
    <row r="8" spans="1:10" ht="15.75" x14ac:dyDescent="0.15">
      <c r="A8" s="27"/>
      <c r="B8" s="27"/>
      <c r="C8" s="27"/>
      <c r="D8" s="27"/>
      <c r="E8" s="27"/>
      <c r="F8" s="27"/>
      <c r="G8" s="27"/>
    </row>
    <row r="9" spans="1:10" ht="29.25" thickBot="1" x14ac:dyDescent="0.2">
      <c r="A9" s="7" t="s">
        <v>26</v>
      </c>
      <c r="B9" s="7"/>
      <c r="C9" s="7"/>
      <c r="D9" s="7"/>
      <c r="E9" s="7"/>
      <c r="F9" s="7"/>
      <c r="G9" s="7"/>
    </row>
    <row r="10" spans="1:10" ht="20.25" thickBot="1" x14ac:dyDescent="0.2">
      <c r="A10" s="28" t="s">
        <v>18</v>
      </c>
      <c r="B10" s="29" t="s">
        <v>19</v>
      </c>
      <c r="C10" s="29" t="s">
        <v>20</v>
      </c>
      <c r="D10" s="29" t="s">
        <v>21</v>
      </c>
      <c r="E10" s="29" t="s">
        <v>22</v>
      </c>
      <c r="F10" s="29" t="s">
        <v>23</v>
      </c>
      <c r="G10" s="30" t="s">
        <v>24</v>
      </c>
    </row>
    <row r="11" spans="1:10" ht="30" x14ac:dyDescent="0.15">
      <c r="A11" s="31">
        <f>COLUMN(A11)</f>
        <v>1</v>
      </c>
      <c r="B11" s="32">
        <f t="shared" ref="B11:G11" si="3">COLUMN(B11)</f>
        <v>2</v>
      </c>
      <c r="C11" s="32">
        <f t="shared" si="3"/>
        <v>3</v>
      </c>
      <c r="D11" s="32">
        <f t="shared" si="3"/>
        <v>4</v>
      </c>
      <c r="E11" s="32">
        <f t="shared" si="3"/>
        <v>5</v>
      </c>
      <c r="F11" s="32">
        <f t="shared" si="3"/>
        <v>6</v>
      </c>
      <c r="G11" s="33">
        <f t="shared" si="3"/>
        <v>7</v>
      </c>
    </row>
    <row r="12" spans="1:10" ht="30" x14ac:dyDescent="0.15">
      <c r="A12" s="34">
        <f>COLUMN(A12) +$G11</f>
        <v>8</v>
      </c>
      <c r="B12" s="35">
        <f t="shared" ref="B12:G12" si="4">COLUMN(B12) +$G$3</f>
        <v>9</v>
      </c>
      <c r="C12" s="35">
        <f t="shared" si="4"/>
        <v>10</v>
      </c>
      <c r="D12" s="35">
        <f t="shared" si="4"/>
        <v>11</v>
      </c>
      <c r="E12" s="35">
        <f t="shared" si="4"/>
        <v>12</v>
      </c>
      <c r="F12" s="35">
        <f t="shared" si="4"/>
        <v>13</v>
      </c>
      <c r="G12" s="36">
        <f t="shared" si="4"/>
        <v>14</v>
      </c>
    </row>
    <row r="13" spans="1:10" ht="30" x14ac:dyDescent="0.15">
      <c r="A13" s="34">
        <f>COLUMN(A13) +$G12</f>
        <v>15</v>
      </c>
      <c r="B13" s="35">
        <f t="shared" ref="B13:B14" si="5">COLUMN(B13) +$G12</f>
        <v>16</v>
      </c>
      <c r="C13" s="35">
        <f t="shared" ref="C13:C14" si="6">COLUMN(C13) +$G12</f>
        <v>17</v>
      </c>
      <c r="D13" s="35">
        <f t="shared" ref="D13:D14" si="7">COLUMN(D13) +$G12</f>
        <v>18</v>
      </c>
      <c r="E13" s="35">
        <f t="shared" ref="E13:E14" si="8">COLUMN(E13) +$G12</f>
        <v>19</v>
      </c>
      <c r="F13" s="35">
        <f t="shared" ref="F13:F14" si="9">COLUMN(F13) +$G12</f>
        <v>20</v>
      </c>
      <c r="G13" s="36">
        <f t="shared" ref="G13:G14" si="10">COLUMN(G13) +$G12</f>
        <v>21</v>
      </c>
    </row>
    <row r="14" spans="1:10" ht="30" x14ac:dyDescent="0.15">
      <c r="A14" s="34">
        <f>COLUMN(A14) +$G13</f>
        <v>22</v>
      </c>
      <c r="B14" s="35">
        <f t="shared" si="5"/>
        <v>23</v>
      </c>
      <c r="C14" s="35">
        <f t="shared" si="6"/>
        <v>24</v>
      </c>
      <c r="D14" s="35">
        <f t="shared" si="7"/>
        <v>25</v>
      </c>
      <c r="E14" s="35">
        <f t="shared" si="8"/>
        <v>26</v>
      </c>
      <c r="F14" s="35">
        <f t="shared" si="9"/>
        <v>27</v>
      </c>
      <c r="G14" s="36">
        <f t="shared" si="10"/>
        <v>28</v>
      </c>
    </row>
    <row r="15" spans="1:10" ht="30.75" thickBot="1" x14ac:dyDescent="0.2">
      <c r="A15" s="88">
        <f>COLUMN(A15) +$G14</f>
        <v>29</v>
      </c>
      <c r="B15" s="24">
        <f>COLUMN(B15) +$G14</f>
        <v>30</v>
      </c>
      <c r="C15" s="25"/>
      <c r="D15" s="25"/>
      <c r="E15" s="25"/>
      <c r="F15" s="25"/>
      <c r="G15" s="26"/>
    </row>
    <row r="16" spans="1:10" x14ac:dyDescent="0.15">
      <c r="A16" s="37"/>
      <c r="B16" s="37"/>
      <c r="C16" s="37"/>
      <c r="D16" s="37"/>
      <c r="E16" s="37"/>
      <c r="F16" s="37"/>
      <c r="G16" s="37"/>
    </row>
    <row r="17" spans="1:13" ht="29.25" thickBot="1" x14ac:dyDescent="0.2">
      <c r="A17" s="7" t="s">
        <v>27</v>
      </c>
      <c r="B17" s="7"/>
      <c r="C17" s="7"/>
      <c r="D17" s="7"/>
      <c r="E17" s="7"/>
      <c r="F17" s="7"/>
      <c r="G17" s="7"/>
    </row>
    <row r="18" spans="1:13" ht="20.25" thickBot="1" x14ac:dyDescent="0.2">
      <c r="A18" s="28" t="s">
        <v>18</v>
      </c>
      <c r="B18" s="29" t="s">
        <v>19</v>
      </c>
      <c r="C18" s="29" t="s">
        <v>20</v>
      </c>
      <c r="D18" s="29" t="s">
        <v>21</v>
      </c>
      <c r="E18" s="29" t="s">
        <v>22</v>
      </c>
      <c r="F18" s="29" t="s">
        <v>23</v>
      </c>
      <c r="G18" s="30" t="s">
        <v>24</v>
      </c>
    </row>
    <row r="19" spans="1:13" ht="30" x14ac:dyDescent="0.15">
      <c r="A19" s="31">
        <f>COLUMN(A19)</f>
        <v>1</v>
      </c>
      <c r="B19" s="32">
        <f t="shared" ref="B19:G19" si="11">COLUMN(B19)</f>
        <v>2</v>
      </c>
      <c r="C19" s="32">
        <f t="shared" si="11"/>
        <v>3</v>
      </c>
      <c r="D19" s="32">
        <f t="shared" si="11"/>
        <v>4</v>
      </c>
      <c r="E19" s="32">
        <f t="shared" si="11"/>
        <v>5</v>
      </c>
      <c r="F19" s="32">
        <f t="shared" si="11"/>
        <v>6</v>
      </c>
      <c r="G19" s="33">
        <f t="shared" si="11"/>
        <v>7</v>
      </c>
    </row>
    <row r="20" spans="1:13" ht="30" x14ac:dyDescent="0.15">
      <c r="A20" s="34">
        <f>COLUMN(A20) +$G19</f>
        <v>8</v>
      </c>
      <c r="B20" s="35">
        <f t="shared" ref="B20:G20" si="12">COLUMN(B20) +$G$3</f>
        <v>9</v>
      </c>
      <c r="C20" s="35">
        <f t="shared" si="12"/>
        <v>10</v>
      </c>
      <c r="D20" s="35">
        <f t="shared" si="12"/>
        <v>11</v>
      </c>
      <c r="E20" s="39">
        <f t="shared" si="12"/>
        <v>12</v>
      </c>
      <c r="F20" s="39">
        <f t="shared" si="12"/>
        <v>13</v>
      </c>
      <c r="G20" s="40">
        <f t="shared" si="12"/>
        <v>14</v>
      </c>
    </row>
    <row r="21" spans="1:13" ht="30" x14ac:dyDescent="0.15">
      <c r="A21" s="38">
        <f>COLUMN(A21) +$G20</f>
        <v>15</v>
      </c>
      <c r="B21" s="39">
        <f t="shared" ref="B21:B22" si="13">COLUMN(B21) +$G20</f>
        <v>16</v>
      </c>
      <c r="C21" s="39">
        <f t="shared" ref="C21" si="14">COLUMN(C21) +$G20</f>
        <v>17</v>
      </c>
      <c r="D21" s="39">
        <f t="shared" ref="D21:D22" si="15">COLUMN(D21) +$G20</f>
        <v>18</v>
      </c>
      <c r="E21" s="39">
        <f t="shared" ref="E21:E22" si="16">COLUMN(E21) +$G20</f>
        <v>19</v>
      </c>
      <c r="F21" s="39">
        <f t="shared" ref="F21:F22" si="17">COLUMN(F21) +$G20</f>
        <v>20</v>
      </c>
      <c r="G21" s="40">
        <f t="shared" ref="G21:G22" si="18">COLUMN(G21) +$G20</f>
        <v>21</v>
      </c>
    </row>
    <row r="22" spans="1:13" ht="30" x14ac:dyDescent="0.15">
      <c r="A22" s="38">
        <f>COLUMN(A22) +$G21</f>
        <v>22</v>
      </c>
      <c r="B22" s="39">
        <f t="shared" si="13"/>
        <v>23</v>
      </c>
      <c r="C22" s="39">
        <f>COLUMN(C22) +$G21</f>
        <v>24</v>
      </c>
      <c r="D22" s="42">
        <f t="shared" si="15"/>
        <v>25</v>
      </c>
      <c r="E22" s="42">
        <f t="shared" si="16"/>
        <v>26</v>
      </c>
      <c r="F22" s="42">
        <f t="shared" si="17"/>
        <v>27</v>
      </c>
      <c r="G22" s="43">
        <f t="shared" si="18"/>
        <v>28</v>
      </c>
    </row>
    <row r="23" spans="1:13" ht="30.75" thickBot="1" x14ac:dyDescent="0.2">
      <c r="A23" s="44">
        <f>COLUMN(A23) +$G22</f>
        <v>29</v>
      </c>
      <c r="B23" s="45">
        <f>COLUMN(B23) +$G22</f>
        <v>30</v>
      </c>
      <c r="C23" s="45">
        <f>COLUMN(C23) +$G22</f>
        <v>31</v>
      </c>
      <c r="D23" s="25"/>
      <c r="E23" s="25"/>
      <c r="F23" s="25"/>
      <c r="G23" s="26"/>
    </row>
    <row r="24" spans="1:13" x14ac:dyDescent="0.15">
      <c r="A24" s="37"/>
      <c r="B24" s="37"/>
      <c r="C24" s="37"/>
      <c r="D24" s="37"/>
      <c r="E24" s="37"/>
      <c r="F24" s="37"/>
      <c r="G24" s="37"/>
    </row>
    <row r="25" spans="1:13" ht="29.25" thickBot="1" x14ac:dyDescent="0.2">
      <c r="A25" s="7" t="s">
        <v>28</v>
      </c>
      <c r="B25" s="7"/>
      <c r="C25" s="7"/>
      <c r="D25" s="7"/>
      <c r="E25" s="7"/>
      <c r="F25" s="7"/>
      <c r="G25" s="7"/>
      <c r="M25" t="s">
        <v>68</v>
      </c>
    </row>
    <row r="26" spans="1:13" ht="20.25" thickBot="1" x14ac:dyDescent="0.2">
      <c r="A26" s="28" t="s">
        <v>18</v>
      </c>
      <c r="B26" s="29" t="s">
        <v>19</v>
      </c>
      <c r="C26" s="29" t="s">
        <v>20</v>
      </c>
      <c r="D26" s="29" t="s">
        <v>21</v>
      </c>
      <c r="E26" s="29" t="s">
        <v>22</v>
      </c>
      <c r="F26" s="29" t="s">
        <v>23</v>
      </c>
      <c r="G26" s="30" t="s">
        <v>24</v>
      </c>
    </row>
    <row r="27" spans="1:13" ht="30" x14ac:dyDescent="0.15">
      <c r="A27" s="55">
        <f>COLUMN(A27)</f>
        <v>1</v>
      </c>
      <c r="B27" s="56">
        <f t="shared" ref="B27:G27" si="19">COLUMN(B27)</f>
        <v>2</v>
      </c>
      <c r="C27" s="56">
        <f t="shared" si="19"/>
        <v>3</v>
      </c>
      <c r="D27" s="56">
        <f t="shared" si="19"/>
        <v>4</v>
      </c>
      <c r="E27" s="56">
        <f t="shared" si="19"/>
        <v>5</v>
      </c>
      <c r="F27" s="56">
        <f t="shared" si="19"/>
        <v>6</v>
      </c>
      <c r="G27" s="89">
        <f t="shared" si="19"/>
        <v>7</v>
      </c>
    </row>
    <row r="28" spans="1:13" ht="30" x14ac:dyDescent="0.15">
      <c r="A28" s="41">
        <f>COLUMN(A28) +$G27</f>
        <v>8</v>
      </c>
      <c r="B28" s="42">
        <f t="shared" ref="B28:G28" si="20">COLUMN(B28) +$G$3</f>
        <v>9</v>
      </c>
      <c r="C28" s="42">
        <f t="shared" si="20"/>
        <v>10</v>
      </c>
      <c r="D28" s="48">
        <f t="shared" si="20"/>
        <v>11</v>
      </c>
      <c r="E28" s="48">
        <f t="shared" si="20"/>
        <v>12</v>
      </c>
      <c r="F28" s="48">
        <f t="shared" si="20"/>
        <v>13</v>
      </c>
      <c r="G28" s="49">
        <f t="shared" si="20"/>
        <v>14</v>
      </c>
    </row>
    <row r="29" spans="1:13" ht="30" x14ac:dyDescent="0.15">
      <c r="A29" s="47">
        <f>COLUMN(A29) +$G28</f>
        <v>15</v>
      </c>
      <c r="B29" s="48">
        <f t="shared" ref="B29:B30" si="21">COLUMN(B29) +$G28</f>
        <v>16</v>
      </c>
      <c r="C29" s="48">
        <f t="shared" ref="C29:C30" si="22">COLUMN(C29) +$G28</f>
        <v>17</v>
      </c>
      <c r="D29" s="48">
        <f t="shared" ref="D29:D30" si="23">COLUMN(D29) +$G28</f>
        <v>18</v>
      </c>
      <c r="E29" s="48">
        <f t="shared" ref="E29:E30" si="24">COLUMN(E29) +$G28</f>
        <v>19</v>
      </c>
      <c r="F29" s="48">
        <f t="shared" ref="F29:F30" si="25">COLUMN(F29) +$G28</f>
        <v>20</v>
      </c>
      <c r="G29" s="49">
        <f t="shared" ref="G29:G30" si="26">COLUMN(G29) +$G28</f>
        <v>21</v>
      </c>
    </row>
    <row r="30" spans="1:13" ht="30" x14ac:dyDescent="0.15">
      <c r="A30" s="47">
        <f>COLUMN(A30) +$G29</f>
        <v>22</v>
      </c>
      <c r="B30" s="48">
        <f t="shared" si="21"/>
        <v>23</v>
      </c>
      <c r="C30" s="21">
        <f t="shared" si="22"/>
        <v>24</v>
      </c>
      <c r="D30" s="21">
        <f t="shared" si="23"/>
        <v>25</v>
      </c>
      <c r="E30" s="21">
        <f t="shared" si="24"/>
        <v>26</v>
      </c>
      <c r="F30" s="21">
        <f t="shared" si="25"/>
        <v>27</v>
      </c>
      <c r="G30" s="22">
        <f t="shared" si="26"/>
        <v>28</v>
      </c>
    </row>
    <row r="31" spans="1:13" ht="30.75" thickBot="1" x14ac:dyDescent="0.2">
      <c r="A31" s="23">
        <f>COLUMN(A31) +$G30</f>
        <v>29</v>
      </c>
      <c r="B31" s="46">
        <f>COLUMN(B31) +$G30</f>
        <v>30</v>
      </c>
      <c r="C31" s="25">
        <f>COLUMN(C31) +$G30</f>
        <v>31</v>
      </c>
      <c r="D31" s="25"/>
      <c r="E31" s="25"/>
      <c r="F31" s="25"/>
      <c r="G31" s="26"/>
    </row>
  </sheetData>
  <phoneticPr fontId="2"/>
  <dataValidations count="1">
    <dataValidation allowBlank="1" showInputMessage="1" showErrorMessage="1" prompt="B 列から H 列の行 6、8、10、12、14、16 には、その月の日付がそれぞれセルに含まれます" sqref="A3:G6 A7:C7 A11:G14 A15:C15 A19:G22 A23:C23 A27:G30 A31:C31" xr:uid="{3C077382-6666-49EF-867A-7294735BF4D3}"/>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D0E9-F6DA-4588-AE05-5054E48F18AE}">
  <dimension ref="A2:O27"/>
  <sheetViews>
    <sheetView topLeftCell="A13" workbookViewId="0">
      <selection activeCell="A25" sqref="A25:E25"/>
    </sheetView>
  </sheetViews>
  <sheetFormatPr defaultRowHeight="13.5" x14ac:dyDescent="0.15"/>
  <cols>
    <col min="4" max="4" width="10.5" customWidth="1"/>
  </cols>
  <sheetData>
    <row r="2" spans="1:15" x14ac:dyDescent="0.15">
      <c r="A2" t="s">
        <v>49</v>
      </c>
    </row>
    <row r="3" spans="1:15" x14ac:dyDescent="0.15">
      <c r="A3" s="108" t="s">
        <v>52</v>
      </c>
      <c r="B3" s="109"/>
      <c r="C3" s="109"/>
      <c r="D3" s="109"/>
      <c r="E3" s="109"/>
      <c r="F3" s="109"/>
      <c r="G3" s="109"/>
      <c r="H3" s="109"/>
      <c r="I3" s="110"/>
      <c r="J3" s="108" t="s">
        <v>53</v>
      </c>
      <c r="K3" s="109"/>
      <c r="L3" s="109"/>
      <c r="M3" s="109"/>
      <c r="N3" s="109"/>
      <c r="O3" s="110"/>
    </row>
    <row r="4" spans="1:15" x14ac:dyDescent="0.15">
      <c r="A4" s="108" t="s">
        <v>61</v>
      </c>
      <c r="B4" s="109"/>
      <c r="C4" s="109"/>
      <c r="D4" s="109"/>
      <c r="E4" s="109"/>
      <c r="F4" s="109"/>
      <c r="G4" s="109"/>
      <c r="H4" s="109"/>
      <c r="I4" s="110"/>
      <c r="J4" s="1" t="s">
        <v>51</v>
      </c>
      <c r="K4" s="1"/>
      <c r="L4" s="1"/>
      <c r="M4" s="1"/>
      <c r="N4" s="1"/>
      <c r="O4" s="1"/>
    </row>
    <row r="5" spans="1:15" x14ac:dyDescent="0.15">
      <c r="A5" s="111" t="s">
        <v>50</v>
      </c>
      <c r="B5" s="112"/>
      <c r="C5" s="112"/>
      <c r="D5" s="112"/>
      <c r="E5" s="112"/>
      <c r="F5" s="112"/>
      <c r="G5" s="112"/>
      <c r="H5" s="112"/>
      <c r="I5" s="113"/>
    </row>
    <row r="6" spans="1:15" x14ac:dyDescent="0.15">
      <c r="A6" s="105" t="s">
        <v>54</v>
      </c>
      <c r="B6" s="106"/>
      <c r="C6" s="106"/>
      <c r="D6" s="106"/>
      <c r="E6" s="106"/>
      <c r="F6" s="106"/>
      <c r="G6" s="106"/>
      <c r="H6" s="106"/>
      <c r="I6" s="107"/>
    </row>
    <row r="7" spans="1:15" x14ac:dyDescent="0.15">
      <c r="A7" s="105" t="s">
        <v>55</v>
      </c>
      <c r="B7" s="106"/>
      <c r="C7" s="106"/>
      <c r="D7" s="106"/>
      <c r="E7" s="106"/>
      <c r="F7" s="106"/>
      <c r="G7" s="106"/>
      <c r="H7" s="106"/>
      <c r="I7" s="107"/>
    </row>
    <row r="8" spans="1:15" x14ac:dyDescent="0.15">
      <c r="A8" s="108" t="s">
        <v>58</v>
      </c>
      <c r="B8" s="109"/>
      <c r="C8" s="109"/>
      <c r="D8" s="109"/>
      <c r="E8" s="109"/>
      <c r="F8" s="109"/>
      <c r="G8" s="109"/>
      <c r="H8" s="109"/>
      <c r="I8" s="110"/>
    </row>
    <row r="9" spans="1:15" x14ac:dyDescent="0.15">
      <c r="A9" s="105" t="s">
        <v>56</v>
      </c>
      <c r="B9" s="106"/>
      <c r="C9" s="106"/>
      <c r="D9" s="106"/>
      <c r="E9" s="106"/>
      <c r="F9" s="106"/>
      <c r="G9" s="106"/>
      <c r="H9" s="106"/>
      <c r="I9" s="107"/>
    </row>
    <row r="10" spans="1:15" x14ac:dyDescent="0.15">
      <c r="A10" s="105" t="s">
        <v>57</v>
      </c>
      <c r="B10" s="106"/>
      <c r="C10" s="106"/>
      <c r="D10" s="106"/>
      <c r="E10" s="106"/>
      <c r="F10" s="106"/>
      <c r="G10" s="106"/>
      <c r="H10" s="106"/>
      <c r="I10" s="107"/>
    </row>
    <row r="11" spans="1:15" x14ac:dyDescent="0.15">
      <c r="A11" s="108" t="s">
        <v>59</v>
      </c>
      <c r="B11" s="109"/>
      <c r="C11" s="109"/>
      <c r="D11" s="109"/>
      <c r="E11" s="109"/>
      <c r="F11" s="109"/>
      <c r="G11" s="109"/>
      <c r="H11" s="109"/>
      <c r="I11" s="110"/>
    </row>
    <row r="12" spans="1:15" x14ac:dyDescent="0.15">
      <c r="A12" s="105" t="s">
        <v>60</v>
      </c>
      <c r="B12" s="106"/>
      <c r="C12" s="106"/>
      <c r="D12" s="106"/>
      <c r="E12" s="106"/>
      <c r="F12" s="106"/>
      <c r="G12" s="106"/>
      <c r="H12" s="106"/>
      <c r="I12" s="107"/>
    </row>
    <row r="13" spans="1:15" x14ac:dyDescent="0.15">
      <c r="A13" s="105" t="s">
        <v>62</v>
      </c>
      <c r="B13" s="106"/>
      <c r="C13" s="106"/>
      <c r="D13" s="106"/>
      <c r="E13" s="106"/>
      <c r="F13" s="106"/>
      <c r="G13" s="106"/>
      <c r="H13" s="106"/>
      <c r="I13" s="107"/>
    </row>
    <row r="14" spans="1:15" x14ac:dyDescent="0.15">
      <c r="A14" s="105" t="s">
        <v>63</v>
      </c>
      <c r="B14" s="106"/>
      <c r="C14" s="106"/>
      <c r="D14" s="106"/>
      <c r="E14" s="106"/>
      <c r="F14" s="106"/>
      <c r="G14" s="106"/>
      <c r="H14" s="106"/>
      <c r="I14" s="107"/>
    </row>
    <row r="15" spans="1:15" x14ac:dyDescent="0.15">
      <c r="A15" s="105" t="s">
        <v>64</v>
      </c>
      <c r="B15" s="106"/>
      <c r="C15" s="106"/>
      <c r="D15" s="106"/>
      <c r="E15" s="106"/>
      <c r="F15" s="106"/>
      <c r="G15" s="106"/>
      <c r="H15" s="106"/>
      <c r="I15" s="107"/>
    </row>
    <row r="16" spans="1:15" x14ac:dyDescent="0.15">
      <c r="A16" s="105" t="s">
        <v>65</v>
      </c>
      <c r="B16" s="106"/>
      <c r="C16" s="106"/>
      <c r="D16" s="106"/>
      <c r="E16" s="106"/>
      <c r="F16" s="106"/>
      <c r="G16" s="106"/>
      <c r="H16" s="106"/>
      <c r="I16" s="107"/>
    </row>
    <row r="18" spans="1:8" x14ac:dyDescent="0.15">
      <c r="A18" s="108" t="s">
        <v>66</v>
      </c>
      <c r="B18" s="109"/>
      <c r="C18" s="109"/>
      <c r="D18" s="109"/>
      <c r="E18" s="109"/>
      <c r="F18" s="109"/>
      <c r="G18" s="109"/>
      <c r="H18" s="110"/>
    </row>
    <row r="19" spans="1:8" x14ac:dyDescent="0.15">
      <c r="A19" s="105" t="s">
        <v>67</v>
      </c>
      <c r="B19" s="106"/>
      <c r="C19" s="106"/>
      <c r="D19" s="106"/>
      <c r="E19" s="106"/>
      <c r="F19" s="106"/>
      <c r="G19" s="106"/>
      <c r="H19" s="107"/>
    </row>
    <row r="21" spans="1:8" x14ac:dyDescent="0.15">
      <c r="A21" s="108" t="s">
        <v>88</v>
      </c>
      <c r="B21" s="109"/>
      <c r="C21" s="109"/>
      <c r="D21" s="109"/>
      <c r="E21" s="110"/>
    </row>
    <row r="22" spans="1:8" x14ac:dyDescent="0.15">
      <c r="A22" s="108" t="s">
        <v>95</v>
      </c>
      <c r="B22" s="109"/>
      <c r="C22" s="109"/>
      <c r="D22" s="109"/>
      <c r="E22" s="110"/>
    </row>
    <row r="23" spans="1:8" x14ac:dyDescent="0.15">
      <c r="A23" s="105" t="s">
        <v>89</v>
      </c>
      <c r="B23" s="106"/>
      <c r="C23" s="106"/>
      <c r="D23" s="106"/>
      <c r="E23" s="107"/>
    </row>
    <row r="24" spans="1:8" x14ac:dyDescent="0.15">
      <c r="A24" s="105" t="s">
        <v>90</v>
      </c>
      <c r="B24" s="106"/>
      <c r="C24" s="106"/>
      <c r="D24" s="106"/>
      <c r="E24" s="107"/>
    </row>
    <row r="25" spans="1:8" x14ac:dyDescent="0.15">
      <c r="A25" s="105" t="s">
        <v>93</v>
      </c>
      <c r="B25" s="106"/>
      <c r="C25" s="106"/>
      <c r="D25" s="106"/>
      <c r="E25" s="107"/>
    </row>
    <row r="26" spans="1:8" x14ac:dyDescent="0.15">
      <c r="A26" s="105" t="s">
        <v>92</v>
      </c>
      <c r="B26" s="106"/>
      <c r="C26" s="106"/>
      <c r="D26" s="106"/>
      <c r="E26" s="107"/>
    </row>
    <row r="27" spans="1:8" x14ac:dyDescent="0.15">
      <c r="A27" s="105" t="s">
        <v>94</v>
      </c>
      <c r="B27" s="106"/>
      <c r="C27" s="106"/>
      <c r="D27" s="106"/>
      <c r="E27" s="107"/>
    </row>
  </sheetData>
  <mergeCells count="24">
    <mergeCell ref="A26:E26"/>
    <mergeCell ref="A25:E25"/>
    <mergeCell ref="A27:E27"/>
    <mergeCell ref="J3:O3"/>
    <mergeCell ref="A19:H19"/>
    <mergeCell ref="A21:E21"/>
    <mergeCell ref="A22:E22"/>
    <mergeCell ref="A23:E23"/>
    <mergeCell ref="A24:E24"/>
    <mergeCell ref="A13:I13"/>
    <mergeCell ref="A14:I14"/>
    <mergeCell ref="A15:I15"/>
    <mergeCell ref="A16:I16"/>
    <mergeCell ref="A18:H18"/>
    <mergeCell ref="A8:I8"/>
    <mergeCell ref="A9:I9"/>
    <mergeCell ref="A10:I10"/>
    <mergeCell ref="A11:I11"/>
    <mergeCell ref="A12:I12"/>
    <mergeCell ref="A3:I3"/>
    <mergeCell ref="A4:I4"/>
    <mergeCell ref="A5:I5"/>
    <mergeCell ref="A6:I6"/>
    <mergeCell ref="A7:I7"/>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36C4-9A7C-46B5-8BA7-D0FFE14E0D5E}">
  <dimension ref="A2:C25"/>
  <sheetViews>
    <sheetView tabSelected="1" topLeftCell="A15" zoomScale="130" zoomScaleNormal="130" workbookViewId="0">
      <selection activeCell="C25" sqref="C25"/>
    </sheetView>
  </sheetViews>
  <sheetFormatPr defaultRowHeight="13.5" x14ac:dyDescent="0.15"/>
  <cols>
    <col min="1" max="1" width="11.625" bestFit="1" customWidth="1"/>
    <col min="2" max="2" width="45.375" customWidth="1"/>
    <col min="3" max="3" width="50.75" customWidth="1"/>
  </cols>
  <sheetData>
    <row r="2" spans="1:3" x14ac:dyDescent="0.15">
      <c r="A2" t="s">
        <v>69</v>
      </c>
    </row>
    <row r="3" spans="1:3" x14ac:dyDescent="0.15">
      <c r="B3" s="78" t="s">
        <v>70</v>
      </c>
      <c r="C3" s="78" t="s">
        <v>71</v>
      </c>
    </row>
    <row r="4" spans="1:3" x14ac:dyDescent="0.15">
      <c r="A4" s="90">
        <f>DATE(2025,12,14)</f>
        <v>46005</v>
      </c>
      <c r="B4" s="92" t="s">
        <v>72</v>
      </c>
      <c r="C4" s="92" t="s">
        <v>76</v>
      </c>
    </row>
    <row r="5" spans="1:3" x14ac:dyDescent="0.15">
      <c r="B5" s="92" t="s">
        <v>73</v>
      </c>
      <c r="C5" s="92" t="s">
        <v>77</v>
      </c>
    </row>
    <row r="6" spans="1:3" x14ac:dyDescent="0.15">
      <c r="B6" s="92" t="s">
        <v>74</v>
      </c>
      <c r="C6" s="92" t="s">
        <v>78</v>
      </c>
    </row>
    <row r="7" spans="1:3" x14ac:dyDescent="0.15">
      <c r="B7" s="92" t="s">
        <v>75</v>
      </c>
      <c r="C7" s="92" t="s">
        <v>79</v>
      </c>
    </row>
    <row r="8" spans="1:3" x14ac:dyDescent="0.15">
      <c r="A8" s="91">
        <v>46007</v>
      </c>
      <c r="B8" s="92" t="s">
        <v>74</v>
      </c>
      <c r="C8" s="92" t="s">
        <v>83</v>
      </c>
    </row>
    <row r="9" spans="1:3" ht="40.5" x14ac:dyDescent="0.15">
      <c r="B9" s="93" t="s">
        <v>80</v>
      </c>
      <c r="C9" s="92" t="s">
        <v>84</v>
      </c>
    </row>
    <row r="10" spans="1:3" ht="54" x14ac:dyDescent="0.15">
      <c r="B10" s="92" t="s">
        <v>81</v>
      </c>
      <c r="C10" s="93" t="s">
        <v>82</v>
      </c>
    </row>
    <row r="11" spans="1:3" x14ac:dyDescent="0.15">
      <c r="A11" s="91">
        <v>46008</v>
      </c>
      <c r="B11" s="92" t="s">
        <v>74</v>
      </c>
      <c r="C11" s="92" t="s">
        <v>87</v>
      </c>
    </row>
    <row r="12" spans="1:3" ht="40.5" x14ac:dyDescent="0.15">
      <c r="B12" s="93" t="s">
        <v>80</v>
      </c>
      <c r="C12" s="92" t="s">
        <v>78</v>
      </c>
    </row>
    <row r="13" spans="1:3" ht="27" x14ac:dyDescent="0.15">
      <c r="B13" s="92" t="s">
        <v>85</v>
      </c>
      <c r="C13" s="94" t="s">
        <v>86</v>
      </c>
    </row>
    <row r="14" spans="1:3" x14ac:dyDescent="0.15">
      <c r="A14" s="91">
        <v>46009</v>
      </c>
      <c r="B14" s="92" t="s">
        <v>74</v>
      </c>
      <c r="C14" s="92" t="s">
        <v>78</v>
      </c>
    </row>
    <row r="15" spans="1:3" ht="40.5" x14ac:dyDescent="0.15">
      <c r="B15" s="93" t="s">
        <v>80</v>
      </c>
      <c r="C15" s="92" t="s">
        <v>78</v>
      </c>
    </row>
    <row r="16" spans="1:3" x14ac:dyDescent="0.15">
      <c r="A16" s="91">
        <v>46011</v>
      </c>
      <c r="B16" s="92" t="s">
        <v>74</v>
      </c>
      <c r="C16" s="92" t="s">
        <v>98</v>
      </c>
    </row>
    <row r="17" spans="1:3" ht="40.5" x14ac:dyDescent="0.15">
      <c r="B17" s="93" t="s">
        <v>80</v>
      </c>
      <c r="C17" s="92" t="s">
        <v>78</v>
      </c>
    </row>
    <row r="18" spans="1:3" x14ac:dyDescent="0.15">
      <c r="A18" s="91">
        <v>46012</v>
      </c>
      <c r="B18" s="92" t="s">
        <v>96</v>
      </c>
      <c r="C18" s="92" t="s">
        <v>100</v>
      </c>
    </row>
    <row r="19" spans="1:3" ht="27" x14ac:dyDescent="0.15">
      <c r="B19" s="93" t="s">
        <v>97</v>
      </c>
      <c r="C19" s="92" t="s">
        <v>101</v>
      </c>
    </row>
    <row r="20" spans="1:3" x14ac:dyDescent="0.15">
      <c r="A20" s="91">
        <v>46013</v>
      </c>
      <c r="B20" s="92"/>
      <c r="C20" s="92" t="s">
        <v>102</v>
      </c>
    </row>
    <row r="21" spans="1:3" x14ac:dyDescent="0.15">
      <c r="A21" s="91">
        <v>46014</v>
      </c>
      <c r="B21" s="92" t="s">
        <v>99</v>
      </c>
      <c r="C21" s="92" t="s">
        <v>107</v>
      </c>
    </row>
    <row r="22" spans="1:3" x14ac:dyDescent="0.15">
      <c r="B22" s="92" t="s">
        <v>103</v>
      </c>
      <c r="C22" s="92" t="s">
        <v>78</v>
      </c>
    </row>
    <row r="23" spans="1:3" x14ac:dyDescent="0.15">
      <c r="B23" s="92" t="s">
        <v>104</v>
      </c>
      <c r="C23" s="92" t="s">
        <v>107</v>
      </c>
    </row>
    <row r="24" spans="1:3" x14ac:dyDescent="0.15">
      <c r="B24" s="92" t="s">
        <v>105</v>
      </c>
      <c r="C24" s="92" t="s">
        <v>107</v>
      </c>
    </row>
    <row r="25" spans="1:3" x14ac:dyDescent="0.15">
      <c r="B25" s="92" t="s">
        <v>106</v>
      </c>
      <c r="C25" s="92" t="s">
        <v>107</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AA0C9B-5092-4809-B2C3-E9A7979251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プロト</vt:lpstr>
      <vt:lpstr>スケジュール表</vt:lpstr>
      <vt:lpstr>Sheet1</vt:lpstr>
      <vt:lpstr>Sheet2</vt:lpstr>
      <vt:lpstr>MoMonth</vt:lpstr>
      <vt:lpstr>MoYear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坂本　煌</cp:lastModifiedBy>
  <dcterms:created xsi:type="dcterms:W3CDTF">2025-10-26T00:44:43Z</dcterms:created>
  <dcterms:modified xsi:type="dcterms:W3CDTF">2025-12-23T18:01:08Z</dcterms:modified>
</cp:coreProperties>
</file>