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9E5B6375-8982-48B1-8CE8-DB02618738A8}" xr6:coauthVersionLast="47" xr6:coauthVersionMax="47" xr10:uidLastSave="{00000000-0000-0000-0000-000000000000}"/>
  <bookViews>
    <workbookView xWindow="6585" yWindow="2235" windowWidth="21600" windowHeight="11295"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4" l="1"/>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C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<sst xmlns="http://schemas.openxmlformats.org/spreadsheetml/2006/main" count="115" uniqueCount="78">
  <si>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</si>
  <si>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</si>
  <si>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</si>
  <si>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</si>
  <si>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</si>
  <si>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</si>
  <si>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</si>
  <si>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</si>
  <si>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</si>
  <si>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</si>
  <si>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</si>
  <si>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</si>
  <si>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</si>
  <si>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</si>
  <si>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</si>
  <si>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</si>
  <si>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</si>
  <si>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</si>
  <si>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</si>
  <si>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</si>
  <si>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</si>
  <si>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</si>
  <si>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</si>
  <si>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</si>
  <si>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</si>
  <si>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</si>
  <si>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</si>
  <si>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</si>
  <si>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</si>
  <si>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</si>
  <si>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</si>
  <si>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</si>
  <si>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</si>
  <si>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</si>
  <si>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</si>
  <si>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</si>
  <si>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</si>
  <si>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ー壁のぼり</t>
    <rPh sb="1" eb="2">
      <t>カベ</t>
    </rPh>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</si>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</sst>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7">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02">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1"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145" zoomScaleNormal="145" workbookViewId="0">
      <selection activeCell="F7" sqref="F7"/>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1" t="s">
        <v>43</v>
      </c>
      <c r="B1" s="97" t="str">
        <f>"プロト日数 :" &amp; (COUNT(スケジュール表!B7:C7)+COUNT(スケジュール表!A11:G14))</f>
        <v>プロト日数 :30</v>
      </c>
      <c r="C1" s="98"/>
      <c r="D1" s="93" t="str">
        <f ca="1">"残り作成日数:" &amp; (F2)-TODAY()</f>
        <v>残り作成日数:39</v>
      </c>
      <c r="E1" s="94"/>
      <c r="F1" s="53" t="s">
        <v>34</v>
      </c>
    </row>
    <row r="2" spans="1:10" ht="19.5" thickBot="1" x14ac:dyDescent="0.2">
      <c r="A2" s="92"/>
      <c r="B2" s="99"/>
      <c r="C2" s="100"/>
      <c r="D2" s="95"/>
      <c r="E2" s="96"/>
      <c r="F2" s="54">
        <f>DATE(2026,1,23)</f>
        <v>46045</v>
      </c>
    </row>
    <row r="3" spans="1:10" ht="27.75" thickBot="1" x14ac:dyDescent="0.2">
      <c r="A3" s="65" t="s">
        <v>0</v>
      </c>
      <c r="B3" s="51" t="s">
        <v>12</v>
      </c>
      <c r="C3" s="52" t="s">
        <v>1</v>
      </c>
      <c r="D3" s="61" t="s">
        <v>49</v>
      </c>
      <c r="E3" s="67" t="s">
        <v>8</v>
      </c>
      <c r="F3" s="6" t="s">
        <v>17</v>
      </c>
    </row>
    <row r="4" spans="1:10" x14ac:dyDescent="0.15">
      <c r="A4" s="71" t="s">
        <v>11</v>
      </c>
      <c r="B4" s="73"/>
      <c r="C4" s="73"/>
      <c r="D4" s="76" t="s">
        <v>41</v>
      </c>
      <c r="E4" s="68" t="str">
        <f t="shared" ref="E4:E14" si="0">IF(C4 &gt;= 1,"完成","未完成")</f>
        <v>未完成</v>
      </c>
      <c r="F4" s="78" t="str">
        <f>B15 / 30 &amp; "時間"</f>
        <v>0.966666666666667時間</v>
      </c>
    </row>
    <row r="5" spans="1:10" x14ac:dyDescent="0.15">
      <c r="A5" s="66" t="s">
        <v>37</v>
      </c>
      <c r="B5" s="57">
        <v>2</v>
      </c>
      <c r="C5" s="57"/>
      <c r="D5" s="62" t="s">
        <v>41</v>
      </c>
      <c r="E5" s="69" t="str">
        <f t="shared" si="0"/>
        <v>未完成</v>
      </c>
    </row>
    <row r="6" spans="1:10" x14ac:dyDescent="0.15">
      <c r="A6" s="66" t="s">
        <v>39</v>
      </c>
      <c r="B6" s="57">
        <v>8</v>
      </c>
      <c r="C6" s="57"/>
      <c r="D6" s="63" t="s">
        <v>15</v>
      </c>
      <c r="E6" s="69" t="str">
        <f t="shared" si="0"/>
        <v>未完成</v>
      </c>
    </row>
    <row r="7" spans="1:10" x14ac:dyDescent="0.15">
      <c r="A7" s="66" t="s">
        <v>45</v>
      </c>
      <c r="B7" s="57">
        <v>7</v>
      </c>
      <c r="C7" s="57"/>
      <c r="D7" s="64" t="s">
        <v>13</v>
      </c>
      <c r="E7" s="69" t="str">
        <f t="shared" si="0"/>
        <v>未完成</v>
      </c>
    </row>
    <row r="8" spans="1:10" x14ac:dyDescent="0.15">
      <c r="A8" s="66" t="s">
        <v>38</v>
      </c>
      <c r="B8" s="57">
        <v>2</v>
      </c>
      <c r="C8" s="57">
        <v>3</v>
      </c>
      <c r="D8" s="62" t="s">
        <v>41</v>
      </c>
      <c r="E8" s="70" t="str">
        <f t="shared" si="0"/>
        <v>完成</v>
      </c>
    </row>
    <row r="9" spans="1:10" x14ac:dyDescent="0.15">
      <c r="A9" s="72" t="s">
        <v>35</v>
      </c>
      <c r="B9" s="74">
        <v>5</v>
      </c>
      <c r="C9" s="75">
        <v>5</v>
      </c>
      <c r="D9" s="77" t="s">
        <v>41</v>
      </c>
      <c r="E9" s="70" t="str">
        <f t="shared" si="0"/>
        <v>完成</v>
      </c>
    </row>
    <row r="10" spans="1:10" x14ac:dyDescent="0.15">
      <c r="A10" s="66" t="s">
        <v>2</v>
      </c>
      <c r="B10" s="57"/>
      <c r="C10" s="57">
        <v>6</v>
      </c>
      <c r="D10" s="62" t="s">
        <v>41</v>
      </c>
      <c r="E10" s="70" t="str">
        <f t="shared" si="0"/>
        <v>完成</v>
      </c>
    </row>
    <row r="11" spans="1:10" x14ac:dyDescent="0.15">
      <c r="A11" s="66" t="s">
        <v>9</v>
      </c>
      <c r="B11" s="57">
        <v>1</v>
      </c>
      <c r="C11" s="57">
        <v>1</v>
      </c>
      <c r="D11" s="62" t="s">
        <v>41</v>
      </c>
      <c r="E11" s="70" t="str">
        <f t="shared" si="0"/>
        <v>完成</v>
      </c>
    </row>
    <row r="12" spans="1:10" x14ac:dyDescent="0.15">
      <c r="A12" s="66" t="s">
        <v>40</v>
      </c>
      <c r="B12" s="57">
        <v>1</v>
      </c>
      <c r="C12" s="57">
        <v>2</v>
      </c>
      <c r="D12" s="62" t="s">
        <v>41</v>
      </c>
      <c r="E12" s="70" t="str">
        <f t="shared" si="0"/>
        <v>完成</v>
      </c>
    </row>
    <row r="13" spans="1:10" x14ac:dyDescent="0.15">
      <c r="A13" s="66" t="s">
        <v>10</v>
      </c>
      <c r="B13" s="57">
        <v>2</v>
      </c>
      <c r="C13" s="57">
        <v>3</v>
      </c>
      <c r="D13" s="62" t="s">
        <v>41</v>
      </c>
      <c r="E13" s="70" t="str">
        <f t="shared" si="0"/>
        <v>完成</v>
      </c>
    </row>
    <row r="14" spans="1:10" ht="14.25" thickBot="1" x14ac:dyDescent="0.2">
      <c r="A14" s="66" t="s">
        <v>36</v>
      </c>
      <c r="B14" s="57">
        <v>1</v>
      </c>
      <c r="C14" s="57">
        <v>3</v>
      </c>
      <c r="D14" s="62" t="s">
        <v>41</v>
      </c>
      <c r="E14" s="70" t="str">
        <f t="shared" si="0"/>
        <v>完成</v>
      </c>
    </row>
    <row r="15" spans="1:10" ht="14.25" thickBot="1" x14ac:dyDescent="0.2">
      <c r="A15" s="58" t="s">
        <v>16</v>
      </c>
      <c r="B15" s="59">
        <f>SUM(B5:B14)</f>
        <v>29</v>
      </c>
      <c r="C15" s="59"/>
      <c r="D15" s="59"/>
      <c r="E15" s="60" t="str">
        <f t="shared" ref="E15" si="1">IF(C15 &gt;= 1,"完成","未完成")</f>
        <v>未完成</v>
      </c>
      <c r="F15" t="s">
        <v>48</v>
      </c>
    </row>
    <row r="16" spans="1:10" x14ac:dyDescent="0.15">
      <c r="F16" s="2" t="s">
        <v>44</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46</v>
      </c>
      <c r="G22" s="80">
        <v>7</v>
      </c>
      <c r="H22" s="80"/>
      <c r="I22" s="86" t="s">
        <v>13</v>
      </c>
      <c r="J22" s="82" t="str">
        <f>IF(H22 &gt;= 1,"完成","未完成")</f>
        <v>未完成</v>
      </c>
    </row>
    <row r="23" spans="6:10" x14ac:dyDescent="0.15">
      <c r="F23" s="83" t="s">
        <v>47</v>
      </c>
      <c r="G23" s="84">
        <v>7</v>
      </c>
      <c r="H23" s="84"/>
      <c r="I23" s="86" t="s">
        <v>13</v>
      </c>
      <c r="J23" s="82" t="str">
        <f>IF(H23 &gt;= 1,"完成","未完成")</f>
        <v>未完成</v>
      </c>
    </row>
    <row r="24" spans="6:10" x14ac:dyDescent="0.15">
      <c r="F24" s="79" t="s">
        <v>42</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5" zoomScale="70" zoomScaleNormal="70" workbookViewId="0">
      <selection activeCell="K17" sqref="K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C22"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 t="shared" si="14"/>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69</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19"/>
  <sheetViews>
    <sheetView workbookViewId="0">
      <selection activeCell="L16" sqref="L16"/>
    </sheetView>
  </sheetViews>
  <sheetFormatPr defaultRowHeight="13.5" x14ac:dyDescent="0.15"/>
  <sheetData>
    <row r="2" spans="1:15" x14ac:dyDescent="0.15">
      <c r="A2" t="s">
        <v>50</v>
      </c>
    </row>
    <row r="3" spans="1:15" x14ac:dyDescent="0.15">
      <c r="A3" s="1" t="s">
        <v>53</v>
      </c>
      <c r="B3" s="1"/>
      <c r="C3" s="1"/>
      <c r="D3" s="1"/>
      <c r="E3" s="1"/>
      <c r="F3" s="1"/>
      <c r="G3" s="1"/>
      <c r="H3" s="1"/>
      <c r="I3" s="1"/>
      <c r="J3" s="1" t="s">
        <v>54</v>
      </c>
      <c r="K3" s="1"/>
      <c r="L3" s="1"/>
      <c r="M3" s="1"/>
      <c r="N3" s="1"/>
      <c r="O3" s="1"/>
    </row>
    <row r="4" spans="1:15" x14ac:dyDescent="0.15">
      <c r="A4" s="101" t="s">
        <v>62</v>
      </c>
      <c r="B4" s="101"/>
      <c r="C4" s="101"/>
      <c r="D4" s="101"/>
      <c r="E4" s="1"/>
      <c r="F4" s="1"/>
      <c r="G4" s="1"/>
      <c r="H4" s="1"/>
      <c r="I4" s="1"/>
      <c r="J4" s="1" t="s">
        <v>52</v>
      </c>
      <c r="K4" s="1"/>
      <c r="L4" s="1"/>
      <c r="M4" s="1"/>
      <c r="N4" s="1"/>
      <c r="O4" s="1"/>
    </row>
    <row r="5" spans="1:15" x14ac:dyDescent="0.15">
      <c r="A5" s="101" t="s">
        <v>51</v>
      </c>
      <c r="B5" s="101"/>
      <c r="C5" s="101"/>
      <c r="D5" s="101"/>
      <c r="E5" s="101"/>
      <c r="F5" s="101"/>
      <c r="G5" s="101"/>
      <c r="H5" s="1"/>
      <c r="I5" s="1"/>
    </row>
    <row r="6" spans="1:15" x14ac:dyDescent="0.15">
      <c r="A6" s="1" t="s">
        <v>55</v>
      </c>
      <c r="B6" s="1"/>
      <c r="C6" s="1"/>
      <c r="D6" s="1"/>
      <c r="E6" s="1"/>
      <c r="F6" s="1"/>
      <c r="G6" s="1"/>
      <c r="H6" s="1"/>
      <c r="I6" s="1"/>
    </row>
    <row r="7" spans="1:15" x14ac:dyDescent="0.15">
      <c r="A7" s="1" t="s">
        <v>56</v>
      </c>
      <c r="B7" s="1"/>
      <c r="C7" s="1"/>
      <c r="D7" s="1"/>
      <c r="E7" s="1"/>
      <c r="F7" s="1"/>
      <c r="G7" s="1"/>
      <c r="H7" s="1"/>
      <c r="I7" s="1"/>
    </row>
    <row r="8" spans="1:15" x14ac:dyDescent="0.15">
      <c r="A8" s="1" t="s">
        <v>59</v>
      </c>
      <c r="B8" s="1"/>
      <c r="C8" s="1"/>
      <c r="D8" s="1"/>
      <c r="E8" s="1"/>
      <c r="F8" s="1"/>
      <c r="G8" s="1"/>
      <c r="H8" s="1"/>
      <c r="I8" s="1"/>
    </row>
    <row r="9" spans="1:15" x14ac:dyDescent="0.15">
      <c r="A9" s="1" t="s">
        <v>57</v>
      </c>
      <c r="B9" s="1"/>
      <c r="C9" s="1"/>
      <c r="D9" s="1"/>
      <c r="E9" s="1"/>
      <c r="F9" s="1"/>
      <c r="G9" s="1"/>
      <c r="H9" s="1"/>
      <c r="I9" s="1"/>
    </row>
    <row r="10" spans="1:15" x14ac:dyDescent="0.15">
      <c r="A10" s="1" t="s">
        <v>58</v>
      </c>
      <c r="B10" s="1"/>
      <c r="C10" s="1"/>
      <c r="D10" s="1"/>
      <c r="E10" s="1"/>
      <c r="F10" s="1"/>
      <c r="G10" s="1"/>
      <c r="H10" s="1"/>
      <c r="I10" s="1"/>
    </row>
    <row r="11" spans="1:15" x14ac:dyDescent="0.15">
      <c r="A11" s="1" t="s">
        <v>60</v>
      </c>
      <c r="B11" s="1"/>
      <c r="C11" s="1"/>
      <c r="D11" s="1"/>
      <c r="E11" s="1"/>
      <c r="F11" s="1"/>
      <c r="G11" s="1"/>
      <c r="H11" s="1"/>
      <c r="I11" s="1"/>
    </row>
    <row r="12" spans="1:15" x14ac:dyDescent="0.15">
      <c r="A12" s="1" t="s">
        <v>61</v>
      </c>
      <c r="B12" s="1"/>
      <c r="C12" s="1"/>
      <c r="D12" s="1"/>
      <c r="E12" s="1"/>
      <c r="F12" s="1"/>
      <c r="G12" s="1"/>
      <c r="H12" s="1"/>
      <c r="I12" s="1"/>
    </row>
    <row r="13" spans="1:15" x14ac:dyDescent="0.15">
      <c r="A13" s="1" t="s">
        <v>63</v>
      </c>
      <c r="B13" s="1"/>
      <c r="C13" s="1"/>
      <c r="D13" s="1"/>
      <c r="E13" s="1"/>
      <c r="F13" s="1"/>
      <c r="G13" s="1"/>
      <c r="H13" s="1"/>
      <c r="I13" s="1"/>
    </row>
    <row r="14" spans="1:15" x14ac:dyDescent="0.15">
      <c r="A14" s="1" t="s">
        <v>64</v>
      </c>
      <c r="B14" s="1"/>
      <c r="C14" s="1"/>
      <c r="D14" s="1"/>
      <c r="E14" s="1"/>
      <c r="F14" s="1"/>
      <c r="G14" s="1"/>
      <c r="H14" s="1"/>
      <c r="I14" s="1"/>
    </row>
    <row r="15" spans="1:15" x14ac:dyDescent="0.15">
      <c r="A15" s="1" t="s">
        <v>65</v>
      </c>
      <c r="B15" s="1"/>
      <c r="C15" s="1"/>
      <c r="D15" s="1"/>
      <c r="E15" s="1"/>
      <c r="F15" s="1"/>
      <c r="G15" s="1"/>
      <c r="H15" s="1"/>
      <c r="I15" s="1"/>
    </row>
    <row r="16" spans="1:15" x14ac:dyDescent="0.15">
      <c r="A16" s="1" t="s">
        <v>66</v>
      </c>
      <c r="B16" s="1"/>
      <c r="C16" s="1"/>
      <c r="D16" s="1"/>
      <c r="E16" s="1"/>
      <c r="F16" s="1"/>
      <c r="G16" s="1"/>
      <c r="H16" s="1"/>
      <c r="I16" s="1"/>
    </row>
    <row r="18" spans="1:1" x14ac:dyDescent="0.15">
      <c r="A18" t="s">
        <v>67</v>
      </c>
    </row>
    <row r="19" spans="1:1" x14ac:dyDescent="0.15">
      <c r="A19" t="s">
        <v>68</v>
      </c>
    </row>
  </sheetData>
  <mergeCells count="2">
    <mergeCell ref="A4:D4"/>
    <mergeCell ref="A5:G5"/>
  </mergeCells>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7"/>
  <sheetViews>
    <sheetView tabSelected="1" zoomScale="130" zoomScaleNormal="130" workbookViewId="0">
      <selection activeCell="C10" sqref="C10"/>
    </sheetView>
  </sheetViews>
  <sheetFormatPr defaultRowHeight="13.5" x14ac:dyDescent="0.15"/>
  <cols>
    <col min="1" max="1" width="11.625" bestFit="1" customWidth="1"/>
    <col min="2" max="2" width="35.625" bestFit="1" customWidth="1"/>
    <col min="3" max="3" width="23" customWidth="1"/>
  </cols>
  <sheetData>
    <row r="2" spans="1:3" x14ac:dyDescent="0.15">
      <c r="A2" t="s">
        <v>70</v>
      </c>
    </row>
    <row r="3" spans="1:3" x14ac:dyDescent="0.15">
      <c r="B3" s="78" t="s">
        <v>71</v>
      </c>
      <c r="C3" s="78" t="s">
        <v>72</v>
      </c>
    </row>
    <row r="4" spans="1:3" x14ac:dyDescent="0.15">
      <c r="A4" s="90">
        <f>DATE(2025,12,14)</f>
        <v>46005</v>
      </c>
      <c r="B4" t="s">
        <v>73</v>
      </c>
      <c r="C4" t="s">
        <v>77</v>
      </c>
    </row>
    <row r="5" spans="1:3" x14ac:dyDescent="0.15">
      <c r="B5" t="s">
        <v>74</v>
      </c>
    </row>
    <row r="6" spans="1:3" x14ac:dyDescent="0.15">
      <c r="B6" t="s">
        <v>75</v>
      </c>
    </row>
    <row r="7" spans="1:3" x14ac:dyDescent="0.15">
      <c r="B7" t="s">
        <v>76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2025-12-15T04:49:01Z</dcterms:modified>
</cp:coreProperties>
</file>