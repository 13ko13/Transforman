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akamotokou\Documents\GitHub\Transforman\"/>
    </mc:Choice>
  </mc:AlternateContent>
  <xr:revisionPtr revIDLastSave="0" documentId="13_ncr:1_{D9A03D3C-5C8B-4621-B4A1-537D55411FC8}" xr6:coauthVersionLast="47" xr6:coauthVersionMax="47" xr10:uidLastSave="{00000000-0000-0000-0000-000000000000}"/>
  <bookViews>
    <workbookView xWindow="3120" yWindow="3120" windowWidth="21600" windowHeight="11295"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<sst xmlns="http://schemas.openxmlformats.org/spreadsheetml/2006/main" count="193" uniqueCount="117">
  <si>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</si>
  <si>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</si>
  <si>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</si>
  <si>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</si>
  <si>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</si>
  <si>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</si>
  <si>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</si>
  <si>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</si>
  <si>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</si>
  <si>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</si>
  <si>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</si>
  <si>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</si>
  <si>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</si>
  <si>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</si>
  <si>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</si>
  <si>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</si>
  <si>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</si>
  <si>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</si>
  <si>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</si>
  <si>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</si>
  <si>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</si>
  <si>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</si>
  <si>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</si>
  <si>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</si>
  <si>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</si>
  <si>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</si>
  <si>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</si>
  <si>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</si>
  <si>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</si>
  <si>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</si>
  <si>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</si>
  <si>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</si>
  <si>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</si>
  <si>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</si>
  <si>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</si>
  <si>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</si>
  <si>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</si>
  <si>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</si>
  <si>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</si>
  <si>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</si>
  <si>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</si>
  <si>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</si>
  <si>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</si>
  <si>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</si>
  <si>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</si>
  <si>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</si>
  <si>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</si>
  <si>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</si>
  <si>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</si>
  <si>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</si>
  <si>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</si>
  <si>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</si>
  <si>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</si>
  <si>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</si>
  <si>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</si>
  <si>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</si>
  <si>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</si>
  <si>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</si>
  <si>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</si>
  <si>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</si>
  <si>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</si>
  <si>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</si>
  <si>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</si>
  <si>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</si>
  <si>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</si>
  <si>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</si>
  <si>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</si>
  <si>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</si>
  <si>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</si>
  <si>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</si>
  <si>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</si>
  <si>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</si>
  <si>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</si>
  <si>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</si>
  <si>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</si>
  <si>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</si>
  <si>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</si>
  <si>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</si>
  <si>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</si>
  <si>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</si>
  <si>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</si>
  <si>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</si>
  <si>
    <t>ジャンプを入力している間は最大許容入力時間内であれば
ずっと上方向に速度を持っていて、入力をやめると
上方向の速度がどんどん下に向かって速度を持ち始めて
自然落下を始めるようにして解決(かなり時間を食ってしまった)</t>
    <rPh sb="5" eb="7">
      <t>ニュウリョク</t>
    </rPh>
    <rPh sb="11" eb="12">
      <t>アイダ</t>
    </rPh>
    <rPh sb="13" eb="15">
      <t>サイダイ</t>
    </rPh>
    <rPh sb="15" eb="17">
      <t>キョヨウ</t>
    </rPh>
    <rPh sb="17" eb="22">
      <t>ニュウリョクジカンナイ</t>
    </rPh>
    <rPh sb="30" eb="33">
      <t>ウエホウコウ</t>
    </rPh>
    <rPh sb="34" eb="36">
      <t>ソクド</t>
    </rPh>
    <rPh sb="37" eb="38">
      <t>モ</t>
    </rPh>
    <rPh sb="43" eb="45">
      <t>ニュウリョク</t>
    </rPh>
    <rPh sb="51" eb="52">
      <t>ウエ</t>
    </rPh>
    <rPh sb="52" eb="54">
      <t>ホウコウ</t>
    </rPh>
    <rPh sb="55" eb="57">
      <t>ソクド</t>
    </rPh>
    <rPh sb="62" eb="63">
      <t>シタ</t>
    </rPh>
    <rPh sb="64" eb="65">
      <t>ム</t>
    </rPh>
    <rPh sb="68" eb="70">
      <t>ソクド</t>
    </rPh>
    <rPh sb="71" eb="72">
      <t>モ</t>
    </rPh>
    <rPh sb="73" eb="74">
      <t>ハジ</t>
    </rPh>
    <rPh sb="77" eb="81">
      <t>シゼンラッカ</t>
    </rPh>
    <rPh sb="82" eb="83">
      <t>ハジ</t>
    </rPh>
    <rPh sb="90" eb="92">
      <t>カイケツ</t>
    </rPh>
    <rPh sb="96" eb="98">
      <t>ジカン</t>
    </rPh>
    <rPh sb="99" eb="100">
      <t>ク</t>
    </rPh>
    <phoneticPr fontId="2"/>
  </si>
  <si>
    <t>ジャンプに時間を食ってしまって未完成</t>
    <rPh sb="5" eb="7">
      <t>ジカン</t>
    </rPh>
    <rPh sb="8" eb="9">
      <t>ク</t>
    </rPh>
    <rPh sb="15" eb="18">
      <t>ミカンセイ</t>
    </rPh>
    <phoneticPr fontId="2"/>
  </si>
  <si>
    <t>同じく</t>
    <rPh sb="0" eb="1">
      <t>オナ</t>
    </rPh>
    <phoneticPr fontId="2"/>
  </si>
  <si>
    <t>・ボス部屋到着時に、ボス出現中は行動不能にする</t>
    <rPh sb="3" eb="8">
      <t>ベヤトウチャクジ</t>
    </rPh>
    <rPh sb="12" eb="15">
      <t>シュツゲンチュウ</t>
    </rPh>
    <rPh sb="16" eb="20">
      <t>コウドウフノウ</t>
    </rPh>
    <phoneticPr fontId="2"/>
  </si>
  <si>
    <t>時間はかかったが完成。設計の仕方が下手なのでもう少しほかのオブジェクトのことも考えるような設計にする</t>
    <rPh sb="0" eb="2">
      <t>ジカン</t>
    </rPh>
    <rPh sb="8" eb="10">
      <t>カンセイ</t>
    </rPh>
    <rPh sb="11" eb="13">
      <t>セッケイ</t>
    </rPh>
    <rPh sb="14" eb="16">
      <t>シカタ</t>
    </rPh>
    <rPh sb="17" eb="19">
      <t>ヘタ</t>
    </rPh>
    <rPh sb="24" eb="25">
      <t>スコ</t>
    </rPh>
    <rPh sb="39" eb="40">
      <t>カンガ</t>
    </rPh>
    <rPh sb="45" eb="47">
      <t>セッケイ</t>
    </rPh>
    <phoneticPr fontId="2"/>
  </si>
  <si>
    <t>作成途中</t>
    <rPh sb="0" eb="4">
      <t>サクセイトチュウ</t>
    </rPh>
    <phoneticPr fontId="2"/>
  </si>
  <si>
    <t>テキスト(ヒント)表示について</t>
    <rPh sb="9" eb="11">
      <t>ヒョウジ</t>
    </rPh>
    <phoneticPr fontId="2"/>
  </si>
  <si>
    <t>R1と L1で切り替えができるようになる</t>
    <rPh sb="7" eb="8">
      <t>キ</t>
    </rPh>
    <rPh sb="9" eb="10">
      <t>カ</t>
    </rPh>
    <phoneticPr fontId="2"/>
  </si>
  <si>
    <t>テキストの下にページ数</t>
    <rPh sb="5" eb="6">
      <t>シタ</t>
    </rPh>
    <rPh sb="10" eb="11">
      <t>スウ</t>
    </rPh>
    <phoneticPr fontId="2"/>
  </si>
  <si>
    <t>ーパリィ</t>
    <phoneticPr fontId="2"/>
  </si>
  <si>
    <t>ステージに入った際に画面を止めて説明画像を見せる</t>
    <rPh sb="5" eb="6">
      <t>ハイ</t>
    </rPh>
    <rPh sb="8" eb="9">
      <t>サイ</t>
    </rPh>
    <rPh sb="10" eb="12">
      <t>ガメン</t>
    </rPh>
    <rPh sb="13" eb="14">
      <t>ト</t>
    </rPh>
    <rPh sb="16" eb="18">
      <t>セツメイ</t>
    </rPh>
    <rPh sb="18" eb="20">
      <t>ガゾウ</t>
    </rPh>
    <rPh sb="21" eb="22">
      <t>ミ</t>
    </rPh>
    <phoneticPr fontId="2"/>
  </si>
  <si>
    <t>切り替え時にスライドなどの演出は入れない</t>
    <rPh sb="0" eb="1">
      <t>キ</t>
    </rPh>
    <rPh sb="2" eb="3">
      <t>カ</t>
    </rPh>
    <rPh sb="4" eb="5">
      <t>ジ</t>
    </rPh>
    <rPh sb="13" eb="15">
      <t>エンシュツ</t>
    </rPh>
    <rPh sb="16" eb="17">
      <t>イ</t>
    </rPh>
    <phoneticPr fontId="2"/>
  </si>
  <si>
    <t>説明用のシーンを作成する</t>
    <rPh sb="0" eb="3">
      <t>セツメイヨウ</t>
    </rPh>
    <rPh sb="8" eb="10">
      <t>サクセイ</t>
    </rPh>
    <phoneticPr fontId="2"/>
  </si>
  <si>
    <t>→のようなイメージ</t>
    <phoneticPr fontId="2"/>
  </si>
  <si>
    <t>進捗が怪しいので一旦切り替えてパリィを作る</t>
    <rPh sb="0" eb="2">
      <t>シンチョク</t>
    </rPh>
    <rPh sb="3" eb="4">
      <t>アヤ</t>
    </rPh>
    <rPh sb="8" eb="11">
      <t>イッタンキ</t>
    </rPh>
    <rPh sb="12" eb="13">
      <t>カ</t>
    </rPh>
    <rPh sb="19" eb="20">
      <t>ツク</t>
    </rPh>
    <phoneticPr fontId="2"/>
  </si>
  <si>
    <t>パリィが難しいと感じたらすぐにボスの挙動にシフトチェンジする</t>
    <rPh sb="4" eb="5">
      <t>ムズカ</t>
    </rPh>
    <rPh sb="8" eb="9">
      <t>カン</t>
    </rPh>
    <rPh sb="18" eb="20">
      <t>キョドウ</t>
    </rPh>
    <phoneticPr fontId="2"/>
  </si>
  <si>
    <t>完成したがゲームには取り入れていない</t>
    <rPh sb="0" eb="2">
      <t>カンセイ</t>
    </rPh>
    <rPh sb="10" eb="11">
      <t>ト</t>
    </rPh>
    <rPh sb="12" eb="13">
      <t>イ</t>
    </rPh>
    <phoneticPr fontId="2"/>
  </si>
  <si>
    <t>弾のグラフィックぶちこみ</t>
    <rPh sb="0" eb="1">
      <t>タマ</t>
    </rPh>
    <phoneticPr fontId="2"/>
  </si>
  <si>
    <t>疑似的なパリィ完成。あとはエフェクトでバリア的なのを出したい</t>
    <rPh sb="0" eb="3">
      <t>ギジテキ</t>
    </rPh>
    <rPh sb="7" eb="9">
      <t>カンセイ</t>
    </rPh>
    <rPh sb="22" eb="23">
      <t>テキ</t>
    </rPh>
    <rPh sb="26" eb="27">
      <t>ダ</t>
    </rPh>
    <phoneticPr fontId="2"/>
  </si>
  <si>
    <t>パリィボスの挙動づくりに入った</t>
    <rPh sb="6" eb="8">
      <t>キョドウ</t>
    </rPh>
    <rPh sb="12" eb="13">
      <t>ハイ</t>
    </rPh>
    <phoneticPr fontId="2"/>
  </si>
  <si>
    <t>時間がなくて未着手</t>
    <rPh sb="0" eb="2">
      <t>ジカン</t>
    </rPh>
    <rPh sb="6" eb="9">
      <t>ミチャクシュ</t>
    </rPh>
    <phoneticPr fontId="2"/>
  </si>
  <si>
    <t>パリィボスの作成</t>
    <rPh sb="6" eb="8">
      <t>サクセイ</t>
    </rPh>
    <phoneticPr fontId="2"/>
  </si>
  <si>
    <t>アニメーションクラスの作成</t>
    <rPh sb="11" eb="13">
      <t>サクセイ</t>
    </rPh>
    <phoneticPr fontId="2"/>
  </si>
  <si>
    <t>チャージショットボスのショットアニメーション実装</t>
    <rPh sb="22" eb="24">
      <t>ジッソウ</t>
    </rPh>
    <phoneticPr fontId="2"/>
  </si>
  <si>
    <t>チャージショットボスの着地時にカメラを揺らす演出を実装</t>
    <rPh sb="11" eb="14">
      <t>チャクチジ</t>
    </rPh>
    <rPh sb="19" eb="20">
      <t>ユ</t>
    </rPh>
    <rPh sb="22" eb="24">
      <t>エンシュツ</t>
    </rPh>
    <rPh sb="25" eb="27">
      <t>ジッソウ</t>
    </rPh>
    <phoneticPr fontId="2"/>
  </si>
  <si>
    <t>完成</t>
    <rPh sb="0" eb="2">
      <t>カンセイ</t>
    </rPh>
    <phoneticPr fontId="2"/>
  </si>
  <si>
    <t>パリィボスのジャンプ→落下攻撃を作成</t>
    <rPh sb="11" eb="13">
      <t>ラッカ</t>
    </rPh>
    <rPh sb="13" eb="15">
      <t>コウゲキ</t>
    </rPh>
    <rPh sb="16" eb="18">
      <t>サクセイ</t>
    </rPh>
    <phoneticPr fontId="2"/>
  </si>
  <si>
    <t>パリィボスのパリィを作成</t>
    <rPh sb="10" eb="12">
      <t>サクセイ</t>
    </rPh>
    <phoneticPr fontId="2"/>
  </si>
  <si>
    <t>パリィボスステージを作る</t>
    <rPh sb="10" eb="11">
      <t>ツク</t>
    </rPh>
    <phoneticPr fontId="2"/>
  </si>
  <si>
    <t>見た目は完成</t>
    <rPh sb="0" eb="1">
      <t>ミ</t>
    </rPh>
    <rPh sb="2" eb="3">
      <t>メ</t>
    </rPh>
    <rPh sb="4" eb="6">
      <t>カンセイ</t>
    </rPh>
    <phoneticPr fontId="2"/>
  </si>
  <si>
    <t>〜</t>
    <phoneticPr fontId="2"/>
  </si>
  <si>
    <t>シーンを作成する</t>
    <rPh sb="4" eb="6">
      <t>サクセイ</t>
    </rPh>
    <phoneticPr fontId="2"/>
  </si>
  <si>
    <t>とにかく1ステージ作る</t>
    <rPh sb="9" eb="10">
      <t>ツク</t>
    </rPh>
    <phoneticPr fontId="2"/>
  </si>
  <si>
    <t>UI関係のクラスを作成する</t>
    <rPh sb="2" eb="4">
      <t>カンケイ</t>
    </rPh>
    <rPh sb="9" eb="11">
      <t>サクセイ</t>
    </rPh>
    <phoneticPr fontId="2"/>
  </si>
  <si>
    <t>がわのみ完成</t>
    <rPh sb="4" eb="6">
      <t>カンセイ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</si>
</sst>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38">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
      <left/>
      <right/>
      <top style="thin">
        <color auto="1"/>
      </top>
      <bottom style="thin">
        <color auto="1"/>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15">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14" fontId="0" fillId="0" borderId="0" xfId="0" applyNumberFormat="1"/>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wrapText="1"/>
    </xf>
    <xf numFmtId="0" fontId="0" fillId="0" borderId="0" xfId="0" applyAlignment="1">
      <alignment horizontal="center" vertical="center"/>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21" xfId="0" applyBorder="1"/>
    <xf numFmtId="0" fontId="0" fillId="0" borderId="37" xfId="0" applyBorder="1"/>
    <xf numFmtId="0" fontId="0" fillId="0" borderId="30" xfId="0" applyBorder="1"/>
    <xf numFmtId="0" fontId="3" fillId="0" borderId="21" xfId="0" applyFont="1" applyBorder="1" applyAlignment="1">
      <alignment horizontal="center"/>
    </xf>
    <xf numFmtId="0" fontId="3" fillId="0" borderId="37" xfId="0" applyFont="1" applyBorder="1" applyAlignment="1">
      <alignment horizontal="center"/>
    </xf>
    <xf numFmtId="0" fontId="3" fillId="0" borderId="30" xfId="0" applyFont="1" applyBorder="1" applyAlignment="1">
      <alignment horizontal="center"/>
    </xf>
    <xf numFmtId="0" fontId="0" fillId="0" borderId="21" xfId="0" applyBorder="1" applyAlignment="1">
      <alignment horizontal="left"/>
    </xf>
    <xf numFmtId="0" fontId="0" fillId="0" borderId="37" xfId="0" applyBorder="1" applyAlignment="1">
      <alignment horizontal="left"/>
    </xf>
    <xf numFmtId="0" fontId="0" fillId="0" borderId="30" xfId="0" applyBorder="1" applyAlignment="1">
      <alignment horizontal="left"/>
    </xf>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38100</xdr:colOff>
      <xdr:row>19</xdr:row>
      <xdr:rowOff>152400</xdr:rowOff>
    </xdr:from>
    <xdr:to>
      <xdr:col>12</xdr:col>
      <xdr:colOff>496241</xdr:colOff>
      <xdr:row>35</xdr:row>
      <xdr:rowOff>76200</xdr:rowOff>
    </xdr:to>
    <xdr:pic>
      <xdr:nvPicPr>
        <xdr:cNvPr id="3" name="図 2">
          <a:extLst>
            <a:ext uri="{FF2B5EF4-FFF2-40B4-BE49-F238E27FC236}">
              <a16:creationId xmlns:a16="http://schemas.microsoft.com/office/drawing/2014/main" id="{F336DC43-1EF6-C5FF-C329-E51AC014E5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581400" y="3409950"/>
          <a:ext cx="5258741" cy="2667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tabSelected="1" topLeftCell="A2" zoomScaleNormal="100" workbookViewId="0">
      <selection activeCell="F6" sqref="F6"/>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6" t="s">
        <v>42</v>
      </c>
      <c r="B1" s="102" t="str">
        <f>"プロト日数 :" &amp; (COUNT(スケジュール表!B7:C7)+COUNT(スケジュール表!A11:G14))</f>
        <v>プロト日数 :30</v>
      </c>
      <c r="C1" s="103"/>
      <c r="D1" s="98" t="str">
        <f ca="1">"残り作成日数:" &amp; (F2)-TODAY()</f>
        <v>残り作成日数:10</v>
      </c>
      <c r="E1" s="99"/>
      <c r="F1" s="53" t="s">
        <v>34</v>
      </c>
    </row>
    <row r="2" spans="1:10" ht="19.5" thickBot="1" x14ac:dyDescent="0.2">
      <c r="A2" s="97"/>
      <c r="B2" s="104"/>
      <c r="C2" s="105"/>
      <c r="D2" s="100"/>
      <c r="E2" s="101"/>
      <c r="F2" s="54">
        <f>DATE(2026,1,23)</f>
        <v>46045</v>
      </c>
    </row>
    <row r="3" spans="1:10" ht="27.75" thickBot="1" x14ac:dyDescent="0.2">
      <c r="A3" s="65" t="s">
        <v>0</v>
      </c>
      <c r="B3" s="51" t="s">
        <v>12</v>
      </c>
      <c r="C3" s="52" t="s">
        <v>1</v>
      </c>
      <c r="D3" s="61" t="s">
        <v>48</v>
      </c>
      <c r="E3" s="67" t="s">
        <v>8</v>
      </c>
      <c r="F3" s="6" t="s">
        <v>17</v>
      </c>
    </row>
    <row r="4" spans="1:10" x14ac:dyDescent="0.15">
      <c r="A4" s="71" t="s">
        <v>11</v>
      </c>
      <c r="B4" s="73"/>
      <c r="C4" s="73"/>
      <c r="D4" s="76" t="s">
        <v>40</v>
      </c>
      <c r="E4" s="68" t="str">
        <f t="shared" ref="E4:E14" si="0">IF(C4 &gt;= 1,"完成","未完成")</f>
        <v>未完成</v>
      </c>
      <c r="F4" s="78" t="str">
        <f>B15 / 30 &amp; "時間"</f>
        <v>0.966666666666667時間</v>
      </c>
    </row>
    <row r="5" spans="1:10" x14ac:dyDescent="0.15">
      <c r="A5" s="66" t="s">
        <v>91</v>
      </c>
      <c r="B5" s="57">
        <v>2</v>
      </c>
      <c r="C5" s="57"/>
      <c r="D5" s="62" t="s">
        <v>40</v>
      </c>
      <c r="E5" s="69" t="str">
        <f t="shared" si="0"/>
        <v>未完成</v>
      </c>
    </row>
    <row r="6" spans="1:10" x14ac:dyDescent="0.15">
      <c r="A6" s="66" t="s">
        <v>38</v>
      </c>
      <c r="B6" s="57">
        <v>8</v>
      </c>
      <c r="C6" s="57"/>
      <c r="D6" s="63" t="s">
        <v>15</v>
      </c>
      <c r="E6" s="69" t="str">
        <f t="shared" si="0"/>
        <v>未完成</v>
      </c>
    </row>
    <row r="7" spans="1:10" x14ac:dyDescent="0.15">
      <c r="A7" s="66" t="s">
        <v>44</v>
      </c>
      <c r="B7" s="57">
        <v>7</v>
      </c>
      <c r="C7" s="57"/>
      <c r="D7" s="64" t="s">
        <v>13</v>
      </c>
      <c r="E7" s="69" t="str">
        <f t="shared" si="0"/>
        <v>未完成</v>
      </c>
    </row>
    <row r="8" spans="1:10" x14ac:dyDescent="0.15">
      <c r="A8" s="66" t="s">
        <v>37</v>
      </c>
      <c r="B8" s="57">
        <v>2</v>
      </c>
      <c r="C8" s="57">
        <v>3</v>
      </c>
      <c r="D8" s="62" t="s">
        <v>40</v>
      </c>
      <c r="E8" s="70" t="str">
        <f t="shared" si="0"/>
        <v>完成</v>
      </c>
    </row>
    <row r="9" spans="1:10" x14ac:dyDescent="0.15">
      <c r="A9" s="72" t="s">
        <v>35</v>
      </c>
      <c r="B9" s="74">
        <v>5</v>
      </c>
      <c r="C9" s="75">
        <v>5</v>
      </c>
      <c r="D9" s="77" t="s">
        <v>40</v>
      </c>
      <c r="E9" s="70" t="str">
        <f t="shared" si="0"/>
        <v>完成</v>
      </c>
    </row>
    <row r="10" spans="1:10" x14ac:dyDescent="0.15">
      <c r="A10" s="66" t="s">
        <v>2</v>
      </c>
      <c r="B10" s="57"/>
      <c r="C10" s="57">
        <v>6</v>
      </c>
      <c r="D10" s="62" t="s">
        <v>40</v>
      </c>
      <c r="E10" s="70" t="str">
        <f t="shared" si="0"/>
        <v>完成</v>
      </c>
    </row>
    <row r="11" spans="1:10" x14ac:dyDescent="0.15">
      <c r="A11" s="66" t="s">
        <v>9</v>
      </c>
      <c r="B11" s="57">
        <v>1</v>
      </c>
      <c r="C11" s="57">
        <v>1</v>
      </c>
      <c r="D11" s="62" t="s">
        <v>40</v>
      </c>
      <c r="E11" s="70" t="str">
        <f t="shared" si="0"/>
        <v>完成</v>
      </c>
    </row>
    <row r="12" spans="1:10" x14ac:dyDescent="0.15">
      <c r="A12" s="66" t="s">
        <v>39</v>
      </c>
      <c r="B12" s="57">
        <v>1</v>
      </c>
      <c r="C12" s="57">
        <v>2</v>
      </c>
      <c r="D12" s="62" t="s">
        <v>40</v>
      </c>
      <c r="E12" s="70" t="str">
        <f t="shared" si="0"/>
        <v>完成</v>
      </c>
    </row>
    <row r="13" spans="1:10" x14ac:dyDescent="0.15">
      <c r="A13" s="66" t="s">
        <v>10</v>
      </c>
      <c r="B13" s="57">
        <v>2</v>
      </c>
      <c r="C13" s="57">
        <v>3</v>
      </c>
      <c r="D13" s="62" t="s">
        <v>40</v>
      </c>
      <c r="E13" s="70" t="str">
        <f t="shared" si="0"/>
        <v>完成</v>
      </c>
    </row>
    <row r="14" spans="1:10" ht="14.25" thickBot="1" x14ac:dyDescent="0.2">
      <c r="A14" s="66" t="s">
        <v>36</v>
      </c>
      <c r="B14" s="57">
        <v>1</v>
      </c>
      <c r="C14" s="57">
        <v>3</v>
      </c>
      <c r="D14" s="62" t="s">
        <v>40</v>
      </c>
      <c r="E14" s="70" t="str">
        <f t="shared" si="0"/>
        <v>完成</v>
      </c>
    </row>
    <row r="15" spans="1:10" ht="14.25" thickBot="1" x14ac:dyDescent="0.2">
      <c r="A15" s="58" t="s">
        <v>16</v>
      </c>
      <c r="B15" s="59">
        <f>SUM(B5:B14)</f>
        <v>29</v>
      </c>
      <c r="C15" s="59"/>
      <c r="D15" s="59"/>
      <c r="E15" s="60" t="str">
        <f t="shared" ref="E15" si="1">IF(C15 &gt;= 1,"完成","未完成")</f>
        <v>未完成</v>
      </c>
      <c r="F15" t="s">
        <v>47</v>
      </c>
    </row>
    <row r="16" spans="1:10" x14ac:dyDescent="0.15">
      <c r="F16" s="2" t="s">
        <v>43</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45</v>
      </c>
      <c r="G22" s="80">
        <v>7</v>
      </c>
      <c r="H22" s="80"/>
      <c r="I22" s="86" t="s">
        <v>13</v>
      </c>
      <c r="J22" s="82" t="str">
        <f>IF(H22 &gt;= 1,"完成","未完成")</f>
        <v>未完成</v>
      </c>
    </row>
    <row r="23" spans="6:10" x14ac:dyDescent="0.15">
      <c r="F23" s="83" t="s">
        <v>46</v>
      </c>
      <c r="G23" s="84">
        <v>7</v>
      </c>
      <c r="H23" s="84"/>
      <c r="I23" s="86" t="s">
        <v>13</v>
      </c>
      <c r="J23" s="82" t="str">
        <f>IF(H23 &gt;= 1,"完成","未完成")</f>
        <v>未完成</v>
      </c>
    </row>
    <row r="24" spans="6:10" x14ac:dyDescent="0.15">
      <c r="F24" s="79" t="s">
        <v>41</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8"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68</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29"/>
  <sheetViews>
    <sheetView topLeftCell="A22" workbookViewId="0">
      <selection activeCell="C32" sqref="C32"/>
    </sheetView>
  </sheetViews>
  <sheetFormatPr defaultRowHeight="13.5" x14ac:dyDescent="0.15"/>
  <cols>
    <col min="4" max="4" width="10.5" customWidth="1"/>
  </cols>
  <sheetData>
    <row r="2" spans="1:15" x14ac:dyDescent="0.15">
      <c r="A2" t="s">
        <v>49</v>
      </c>
    </row>
    <row r="3" spans="1:15" x14ac:dyDescent="0.15">
      <c r="A3" s="109" t="s">
        <v>52</v>
      </c>
      <c r="B3" s="110"/>
      <c r="C3" s="110"/>
      <c r="D3" s="110"/>
      <c r="E3" s="110"/>
      <c r="F3" s="110"/>
      <c r="G3" s="110"/>
      <c r="H3" s="110"/>
      <c r="I3" s="111"/>
      <c r="J3" s="109" t="s">
        <v>53</v>
      </c>
      <c r="K3" s="110"/>
      <c r="L3" s="110"/>
      <c r="M3" s="110"/>
      <c r="N3" s="110"/>
      <c r="O3" s="111"/>
    </row>
    <row r="4" spans="1:15" x14ac:dyDescent="0.15">
      <c r="A4" s="109" t="s">
        <v>61</v>
      </c>
      <c r="B4" s="110"/>
      <c r="C4" s="110"/>
      <c r="D4" s="110"/>
      <c r="E4" s="110"/>
      <c r="F4" s="110"/>
      <c r="G4" s="110"/>
      <c r="H4" s="110"/>
      <c r="I4" s="111"/>
      <c r="J4" s="1" t="s">
        <v>51</v>
      </c>
      <c r="K4" s="1"/>
      <c r="L4" s="1"/>
      <c r="M4" s="1"/>
      <c r="N4" s="1"/>
      <c r="O4" s="1"/>
    </row>
    <row r="5" spans="1:15" x14ac:dyDescent="0.15">
      <c r="A5" s="112" t="s">
        <v>50</v>
      </c>
      <c r="B5" s="113"/>
      <c r="C5" s="113"/>
      <c r="D5" s="113"/>
      <c r="E5" s="113"/>
      <c r="F5" s="113"/>
      <c r="G5" s="113"/>
      <c r="H5" s="113"/>
      <c r="I5" s="114"/>
    </row>
    <row r="6" spans="1:15" x14ac:dyDescent="0.15">
      <c r="A6" s="106" t="s">
        <v>54</v>
      </c>
      <c r="B6" s="107"/>
      <c r="C6" s="107"/>
      <c r="D6" s="107"/>
      <c r="E6" s="107"/>
      <c r="F6" s="107"/>
      <c r="G6" s="107"/>
      <c r="H6" s="107"/>
      <c r="I6" s="108"/>
    </row>
    <row r="7" spans="1:15" x14ac:dyDescent="0.15">
      <c r="A7" s="106" t="s">
        <v>55</v>
      </c>
      <c r="B7" s="107"/>
      <c r="C7" s="107"/>
      <c r="D7" s="107"/>
      <c r="E7" s="107"/>
      <c r="F7" s="107"/>
      <c r="G7" s="107"/>
      <c r="H7" s="107"/>
      <c r="I7" s="108"/>
    </row>
    <row r="8" spans="1:15" x14ac:dyDescent="0.15">
      <c r="A8" s="109" t="s">
        <v>58</v>
      </c>
      <c r="B8" s="110"/>
      <c r="C8" s="110"/>
      <c r="D8" s="110"/>
      <c r="E8" s="110"/>
      <c r="F8" s="110"/>
      <c r="G8" s="110"/>
      <c r="H8" s="110"/>
      <c r="I8" s="111"/>
    </row>
    <row r="9" spans="1:15" x14ac:dyDescent="0.15">
      <c r="A9" s="106" t="s">
        <v>56</v>
      </c>
      <c r="B9" s="107"/>
      <c r="C9" s="107"/>
      <c r="D9" s="107"/>
      <c r="E9" s="107"/>
      <c r="F9" s="107"/>
      <c r="G9" s="107"/>
      <c r="H9" s="107"/>
      <c r="I9" s="108"/>
    </row>
    <row r="10" spans="1:15" x14ac:dyDescent="0.15">
      <c r="A10" s="106" t="s">
        <v>57</v>
      </c>
      <c r="B10" s="107"/>
      <c r="C10" s="107"/>
      <c r="D10" s="107"/>
      <c r="E10" s="107"/>
      <c r="F10" s="107"/>
      <c r="G10" s="107"/>
      <c r="H10" s="107"/>
      <c r="I10" s="108"/>
    </row>
    <row r="11" spans="1:15" x14ac:dyDescent="0.15">
      <c r="A11" s="109" t="s">
        <v>59</v>
      </c>
      <c r="B11" s="110"/>
      <c r="C11" s="110"/>
      <c r="D11" s="110"/>
      <c r="E11" s="110"/>
      <c r="F11" s="110"/>
      <c r="G11" s="110"/>
      <c r="H11" s="110"/>
      <c r="I11" s="111"/>
    </row>
    <row r="12" spans="1:15" x14ac:dyDescent="0.15">
      <c r="A12" s="106" t="s">
        <v>60</v>
      </c>
      <c r="B12" s="107"/>
      <c r="C12" s="107"/>
      <c r="D12" s="107"/>
      <c r="E12" s="107"/>
      <c r="F12" s="107"/>
      <c r="G12" s="107"/>
      <c r="H12" s="107"/>
      <c r="I12" s="108"/>
    </row>
    <row r="13" spans="1:15" x14ac:dyDescent="0.15">
      <c r="A13" s="106" t="s">
        <v>62</v>
      </c>
      <c r="B13" s="107"/>
      <c r="C13" s="107"/>
      <c r="D13" s="107"/>
      <c r="E13" s="107"/>
      <c r="F13" s="107"/>
      <c r="G13" s="107"/>
      <c r="H13" s="107"/>
      <c r="I13" s="108"/>
    </row>
    <row r="14" spans="1:15" x14ac:dyDescent="0.15">
      <c r="A14" s="106" t="s">
        <v>63</v>
      </c>
      <c r="B14" s="107"/>
      <c r="C14" s="107"/>
      <c r="D14" s="107"/>
      <c r="E14" s="107"/>
      <c r="F14" s="107"/>
      <c r="G14" s="107"/>
      <c r="H14" s="107"/>
      <c r="I14" s="108"/>
    </row>
    <row r="15" spans="1:15" x14ac:dyDescent="0.15">
      <c r="A15" s="106" t="s">
        <v>64</v>
      </c>
      <c r="B15" s="107"/>
      <c r="C15" s="107"/>
      <c r="D15" s="107"/>
      <c r="E15" s="107"/>
      <c r="F15" s="107"/>
      <c r="G15" s="107"/>
      <c r="H15" s="107"/>
      <c r="I15" s="108"/>
    </row>
    <row r="16" spans="1:15" x14ac:dyDescent="0.15">
      <c r="A16" s="106" t="s">
        <v>65</v>
      </c>
      <c r="B16" s="107"/>
      <c r="C16" s="107"/>
      <c r="D16" s="107"/>
      <c r="E16" s="107"/>
      <c r="F16" s="107"/>
      <c r="G16" s="107"/>
      <c r="H16" s="107"/>
      <c r="I16" s="108"/>
    </row>
    <row r="18" spans="1:8" x14ac:dyDescent="0.15">
      <c r="A18" s="109" t="s">
        <v>66</v>
      </c>
      <c r="B18" s="110"/>
      <c r="C18" s="110"/>
      <c r="D18" s="110"/>
      <c r="E18" s="110"/>
      <c r="F18" s="110"/>
      <c r="G18" s="110"/>
      <c r="H18" s="111"/>
    </row>
    <row r="19" spans="1:8" x14ac:dyDescent="0.15">
      <c r="A19" s="106" t="s">
        <v>67</v>
      </c>
      <c r="B19" s="107"/>
      <c r="C19" s="107"/>
      <c r="D19" s="107"/>
      <c r="E19" s="107"/>
      <c r="F19" s="107"/>
      <c r="G19" s="107"/>
      <c r="H19" s="108"/>
    </row>
    <row r="21" spans="1:8" x14ac:dyDescent="0.15">
      <c r="A21" s="109" t="s">
        <v>88</v>
      </c>
      <c r="B21" s="110"/>
      <c r="C21" s="110"/>
      <c r="D21" s="110"/>
      <c r="E21" s="111"/>
    </row>
    <row r="22" spans="1:8" x14ac:dyDescent="0.15">
      <c r="A22" s="109" t="s">
        <v>95</v>
      </c>
      <c r="B22" s="110"/>
      <c r="C22" s="110"/>
      <c r="D22" s="110"/>
      <c r="E22" s="111"/>
    </row>
    <row r="23" spans="1:8" x14ac:dyDescent="0.15">
      <c r="A23" s="106" t="s">
        <v>89</v>
      </c>
      <c r="B23" s="107"/>
      <c r="C23" s="107"/>
      <c r="D23" s="107"/>
      <c r="E23" s="108"/>
    </row>
    <row r="24" spans="1:8" x14ac:dyDescent="0.15">
      <c r="A24" s="106" t="s">
        <v>90</v>
      </c>
      <c r="B24" s="107"/>
      <c r="C24" s="107"/>
      <c r="D24" s="107"/>
      <c r="E24" s="108"/>
    </row>
    <row r="25" spans="1:8" x14ac:dyDescent="0.15">
      <c r="A25" s="106" t="s">
        <v>93</v>
      </c>
      <c r="B25" s="107"/>
      <c r="C25" s="107"/>
      <c r="D25" s="107"/>
      <c r="E25" s="108"/>
    </row>
    <row r="26" spans="1:8" x14ac:dyDescent="0.15">
      <c r="A26" s="106" t="s">
        <v>92</v>
      </c>
      <c r="B26" s="107"/>
      <c r="C26" s="107"/>
      <c r="D26" s="107"/>
      <c r="E26" s="108"/>
    </row>
    <row r="27" spans="1:8" x14ac:dyDescent="0.15">
      <c r="A27" s="106" t="s">
        <v>94</v>
      </c>
      <c r="B27" s="107"/>
      <c r="C27" s="107"/>
      <c r="D27" s="107"/>
      <c r="E27" s="108"/>
    </row>
    <row r="29" spans="1:8" x14ac:dyDescent="0.15">
      <c r="A29" t="s">
        <v>114</v>
      </c>
    </row>
  </sheetData>
  <mergeCells count="24">
    <mergeCell ref="A10:I10"/>
    <mergeCell ref="A11:I11"/>
    <mergeCell ref="A12:I12"/>
    <mergeCell ref="A3:I3"/>
    <mergeCell ref="A4:I4"/>
    <mergeCell ref="A5:I5"/>
    <mergeCell ref="A6:I6"/>
    <mergeCell ref="A7:I7"/>
    <mergeCell ref="A26:E26"/>
    <mergeCell ref="A25:E25"/>
    <mergeCell ref="A27:E27"/>
    <mergeCell ref="J3:O3"/>
    <mergeCell ref="A19:H19"/>
    <mergeCell ref="A21:E21"/>
    <mergeCell ref="A22:E22"/>
    <mergeCell ref="A23:E23"/>
    <mergeCell ref="A24:E24"/>
    <mergeCell ref="A13:I13"/>
    <mergeCell ref="A14:I14"/>
    <mergeCell ref="A15:I15"/>
    <mergeCell ref="A16:I16"/>
    <mergeCell ref="A18:H18"/>
    <mergeCell ref="A8:I8"/>
    <mergeCell ref="A9:I9"/>
  </mergeCells>
  <phoneticPr fontId="2"/>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42"/>
  <sheetViews>
    <sheetView topLeftCell="A32" zoomScale="130" zoomScaleNormal="130" workbookViewId="0">
      <selection activeCell="A43" sqref="A43"/>
    </sheetView>
  </sheetViews>
  <sheetFormatPr defaultRowHeight="13.5" x14ac:dyDescent="0.15"/>
  <cols>
    <col min="1" max="1" width="11.625" bestFit="1" customWidth="1"/>
    <col min="2" max="2" width="45.375" customWidth="1"/>
    <col min="3" max="3" width="50.75" customWidth="1"/>
  </cols>
  <sheetData>
    <row r="2" spans="1:3" x14ac:dyDescent="0.15">
      <c r="A2" t="s">
        <v>69</v>
      </c>
    </row>
    <row r="3" spans="1:3" x14ac:dyDescent="0.15">
      <c r="B3" s="78" t="s">
        <v>70</v>
      </c>
      <c r="C3" s="78" t="s">
        <v>71</v>
      </c>
    </row>
    <row r="4" spans="1:3" x14ac:dyDescent="0.15">
      <c r="A4" s="90">
        <f>DATE(2025,12,14)</f>
        <v>46005</v>
      </c>
      <c r="B4" s="92" t="s">
        <v>72</v>
      </c>
      <c r="C4" s="92" t="s">
        <v>76</v>
      </c>
    </row>
    <row r="5" spans="1:3" x14ac:dyDescent="0.15">
      <c r="B5" s="92" t="s">
        <v>73</v>
      </c>
      <c r="C5" s="92" t="s">
        <v>77</v>
      </c>
    </row>
    <row r="6" spans="1:3" x14ac:dyDescent="0.15">
      <c r="B6" s="92" t="s">
        <v>74</v>
      </c>
      <c r="C6" s="92" t="s">
        <v>78</v>
      </c>
    </row>
    <row r="7" spans="1:3" x14ac:dyDescent="0.15">
      <c r="B7" s="92" t="s">
        <v>75</v>
      </c>
      <c r="C7" s="92" t="s">
        <v>79</v>
      </c>
    </row>
    <row r="8" spans="1:3" x14ac:dyDescent="0.15">
      <c r="A8" s="91">
        <v>46007</v>
      </c>
      <c r="B8" s="92" t="s">
        <v>74</v>
      </c>
      <c r="C8" s="92" t="s">
        <v>83</v>
      </c>
    </row>
    <row r="9" spans="1:3" ht="40.5" x14ac:dyDescent="0.15">
      <c r="B9" s="93" t="s">
        <v>80</v>
      </c>
      <c r="C9" s="92" t="s">
        <v>84</v>
      </c>
    </row>
    <row r="10" spans="1:3" ht="54" x14ac:dyDescent="0.15">
      <c r="B10" s="92" t="s">
        <v>81</v>
      </c>
      <c r="C10" s="93" t="s">
        <v>82</v>
      </c>
    </row>
    <row r="11" spans="1:3" x14ac:dyDescent="0.15">
      <c r="A11" s="91">
        <v>46008</v>
      </c>
      <c r="B11" s="92" t="s">
        <v>74</v>
      </c>
      <c r="C11" s="92" t="s">
        <v>87</v>
      </c>
    </row>
    <row r="12" spans="1:3" ht="40.5" x14ac:dyDescent="0.15">
      <c r="B12" s="93" t="s">
        <v>80</v>
      </c>
      <c r="C12" s="92" t="s">
        <v>78</v>
      </c>
    </row>
    <row r="13" spans="1:3" ht="27" x14ac:dyDescent="0.15">
      <c r="B13" s="92" t="s">
        <v>85</v>
      </c>
      <c r="C13" s="94" t="s">
        <v>86</v>
      </c>
    </row>
    <row r="14" spans="1:3" x14ac:dyDescent="0.15">
      <c r="A14" s="91">
        <v>46009</v>
      </c>
      <c r="B14" s="92" t="s">
        <v>74</v>
      </c>
      <c r="C14" s="92" t="s">
        <v>78</v>
      </c>
    </row>
    <row r="15" spans="1:3" ht="40.5" x14ac:dyDescent="0.15">
      <c r="B15" s="93" t="s">
        <v>80</v>
      </c>
      <c r="C15" s="92" t="s">
        <v>78</v>
      </c>
    </row>
    <row r="16" spans="1:3" x14ac:dyDescent="0.15">
      <c r="A16" s="91">
        <v>46011</v>
      </c>
      <c r="B16" s="92" t="s">
        <v>74</v>
      </c>
      <c r="C16" s="92" t="s">
        <v>98</v>
      </c>
    </row>
    <row r="17" spans="1:3" ht="40.5" x14ac:dyDescent="0.15">
      <c r="B17" s="93" t="s">
        <v>80</v>
      </c>
      <c r="C17" s="92" t="s">
        <v>78</v>
      </c>
    </row>
    <row r="18" spans="1:3" x14ac:dyDescent="0.15">
      <c r="A18" s="91">
        <v>46012</v>
      </c>
      <c r="B18" s="92" t="s">
        <v>96</v>
      </c>
      <c r="C18" s="92" t="s">
        <v>100</v>
      </c>
    </row>
    <row r="19" spans="1:3" ht="27" x14ac:dyDescent="0.15">
      <c r="B19" s="93" t="s">
        <v>97</v>
      </c>
      <c r="C19" s="92" t="s">
        <v>101</v>
      </c>
    </row>
    <row r="20" spans="1:3" x14ac:dyDescent="0.15">
      <c r="A20" s="91">
        <v>46013</v>
      </c>
      <c r="B20" s="92"/>
      <c r="C20" s="92" t="s">
        <v>102</v>
      </c>
    </row>
    <row r="21" spans="1:3" x14ac:dyDescent="0.15">
      <c r="A21" s="91">
        <v>46014</v>
      </c>
      <c r="B21" s="92" t="s">
        <v>99</v>
      </c>
      <c r="C21" s="92" t="s">
        <v>107</v>
      </c>
    </row>
    <row r="22" spans="1:3" x14ac:dyDescent="0.15">
      <c r="B22" s="92" t="s">
        <v>103</v>
      </c>
      <c r="C22" s="92" t="s">
        <v>78</v>
      </c>
    </row>
    <row r="23" spans="1:3" x14ac:dyDescent="0.15">
      <c r="B23" s="92" t="s">
        <v>104</v>
      </c>
      <c r="C23" s="92" t="s">
        <v>107</v>
      </c>
    </row>
    <row r="24" spans="1:3" x14ac:dyDescent="0.15">
      <c r="B24" s="92" t="s">
        <v>105</v>
      </c>
      <c r="C24" s="92" t="s">
        <v>107</v>
      </c>
    </row>
    <row r="25" spans="1:3" x14ac:dyDescent="0.15">
      <c r="B25" s="92" t="s">
        <v>106</v>
      </c>
      <c r="C25" s="92" t="s">
        <v>107</v>
      </c>
    </row>
    <row r="26" spans="1:3" x14ac:dyDescent="0.15">
      <c r="A26" s="91">
        <v>46017</v>
      </c>
      <c r="B26" s="92" t="s">
        <v>108</v>
      </c>
      <c r="C26" s="92" t="s">
        <v>78</v>
      </c>
    </row>
    <row r="27" spans="1:3" x14ac:dyDescent="0.15">
      <c r="B27" s="92" t="s">
        <v>109</v>
      </c>
      <c r="C27" s="92" t="s">
        <v>78</v>
      </c>
    </row>
    <row r="28" spans="1:3" x14ac:dyDescent="0.15">
      <c r="B28" s="92" t="s">
        <v>110</v>
      </c>
      <c r="C28" s="92" t="s">
        <v>78</v>
      </c>
    </row>
    <row r="29" spans="1:3" x14ac:dyDescent="0.15">
      <c r="A29" s="91">
        <v>46018</v>
      </c>
      <c r="B29" s="92" t="s">
        <v>108</v>
      </c>
      <c r="C29" s="92" t="s">
        <v>78</v>
      </c>
    </row>
    <row r="30" spans="1:3" x14ac:dyDescent="0.15">
      <c r="B30" s="92" t="s">
        <v>109</v>
      </c>
      <c r="C30" s="92" t="s">
        <v>78</v>
      </c>
    </row>
    <row r="31" spans="1:3" x14ac:dyDescent="0.15">
      <c r="B31" s="92" t="s">
        <v>110</v>
      </c>
      <c r="C31" s="92" t="s">
        <v>78</v>
      </c>
    </row>
    <row r="32" spans="1:3" x14ac:dyDescent="0.15">
      <c r="A32" s="91">
        <v>46019</v>
      </c>
      <c r="B32" s="92" t="s">
        <v>108</v>
      </c>
      <c r="C32" s="92" t="s">
        <v>78</v>
      </c>
    </row>
    <row r="33" spans="1:3" x14ac:dyDescent="0.15">
      <c r="B33" s="92" t="s">
        <v>109</v>
      </c>
      <c r="C33" s="92" t="s">
        <v>78</v>
      </c>
    </row>
    <row r="34" spans="1:3" x14ac:dyDescent="0.15">
      <c r="B34" s="92" t="s">
        <v>110</v>
      </c>
      <c r="C34" s="92" t="s">
        <v>78</v>
      </c>
    </row>
    <row r="35" spans="1:3" x14ac:dyDescent="0.15">
      <c r="A35" s="91">
        <v>46020</v>
      </c>
      <c r="B35" s="92" t="s">
        <v>108</v>
      </c>
      <c r="C35" s="92" t="s">
        <v>78</v>
      </c>
    </row>
    <row r="36" spans="1:3" x14ac:dyDescent="0.15">
      <c r="B36" s="92" t="s">
        <v>109</v>
      </c>
      <c r="C36" s="92" t="s">
        <v>111</v>
      </c>
    </row>
    <row r="37" spans="1:3" x14ac:dyDescent="0.15">
      <c r="B37" s="92" t="s">
        <v>110</v>
      </c>
      <c r="C37" s="92" t="s">
        <v>78</v>
      </c>
    </row>
    <row r="38" spans="1:3" x14ac:dyDescent="0.15">
      <c r="A38" s="91">
        <v>46021</v>
      </c>
      <c r="B38" s="92" t="s">
        <v>108</v>
      </c>
      <c r="C38" s="92" t="s">
        <v>111</v>
      </c>
    </row>
    <row r="39" spans="1:3" x14ac:dyDescent="0.15">
      <c r="B39" s="92" t="s">
        <v>110</v>
      </c>
    </row>
    <row r="40" spans="1:3" x14ac:dyDescent="0.15">
      <c r="B40" s="95" t="s">
        <v>112</v>
      </c>
    </row>
    <row r="41" spans="1:3" x14ac:dyDescent="0.15">
      <c r="A41" s="91">
        <v>45664</v>
      </c>
      <c r="B41" s="92" t="s">
        <v>113</v>
      </c>
      <c r="C41" s="92" t="s">
        <v>78</v>
      </c>
    </row>
    <row r="42" spans="1:3" x14ac:dyDescent="0.15">
      <c r="A42" s="91">
        <v>45665</v>
      </c>
      <c r="B42" s="92" t="s">
        <v>115</v>
      </c>
      <c r="C42" s="92" t="s">
        <v>116</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2026-01-13T09:57:01Z</dcterms:modified>
</cp:coreProperties>
</file>